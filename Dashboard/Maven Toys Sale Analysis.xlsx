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1. DA_jouney 25-26\SQL\Maven-Toys-Analysis\Excel Workbook\"/>
    </mc:Choice>
  </mc:AlternateContent>
  <xr:revisionPtr revIDLastSave="0" documentId="13_ncr:1_{8ED5076B-C169-45FE-872C-F381C6EDD61F}" xr6:coauthVersionLast="47" xr6:coauthVersionMax="47" xr10:uidLastSave="{00000000-0000-0000-0000-000000000000}"/>
  <bookViews>
    <workbookView xWindow="-120" yWindow="-120" windowWidth="20730" windowHeight="11160" tabRatio="862" firstSheet="1" activeTab="8" xr2:uid="{CD89AB38-C06C-4F9C-A5F3-A8709F319181}"/>
  </bookViews>
  <sheets>
    <sheet name="DATA_weekday" sheetId="9" r:id="rId1"/>
    <sheet name="DATA_store" sheetId="8" r:id="rId2"/>
    <sheet name="DATA_velocity" sheetId="7" r:id="rId3"/>
    <sheet name="DATA_product" sheetId="6" r:id="rId4"/>
    <sheet name="DATA_monthly" sheetId="2" r:id="rId5"/>
    <sheet name="DATA_inventory" sheetId="5" r:id="rId6"/>
    <sheet name="DATA_category" sheetId="4" r:id="rId7"/>
    <sheet name="Pivots" sheetId="3" r:id="rId8"/>
    <sheet name="Dashboard" sheetId="11" r:id="rId9"/>
  </sheets>
  <definedNames>
    <definedName name="ExternalData_1" localSheetId="6" hidden="1">DATA_category!$A$1:$K$36</definedName>
    <definedName name="ExternalData_1" localSheetId="4" hidden="1">DATA_monthly!$A$1:$N$421</definedName>
    <definedName name="ExternalData_2" localSheetId="5" hidden="1">DATA_inventory!$A$1:$J$1594</definedName>
    <definedName name="ExternalData_2" localSheetId="3" hidden="1">DATA_product!$A$1:$O$36</definedName>
    <definedName name="ExternalData_3" localSheetId="2" hidden="1">DATA_velocity!$A$1:$K$36</definedName>
    <definedName name="ExternalData_4" localSheetId="1" hidden="1">DATA_store!$A$1:$N$51</definedName>
    <definedName name="ExternalData_5" localSheetId="0" hidden="1">DATA_weekday!$A$1:$J$15</definedName>
    <definedName name="Slicer_Product_Category">#N/A</definedName>
    <definedName name="Slicer_sale_year">#N/A</definedName>
    <definedName name="Slicer_Store_Location">#N/A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9" l="1"/>
  <c r="C3" i="9"/>
  <c r="C4" i="9"/>
  <c r="C5" i="9"/>
  <c r="C6" i="9"/>
  <c r="C7" i="9"/>
  <c r="C8" i="9"/>
  <c r="C9" i="9"/>
  <c r="C10" i="9"/>
  <c r="C11" i="9"/>
  <c r="C12" i="9"/>
  <c r="C13" i="9"/>
  <c r="C14" i="9"/>
  <c r="C15" i="9"/>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F4" i="3"/>
  <c r="D24" i="3"/>
  <c r="D25" i="3"/>
  <c r="D26" i="3"/>
  <c r="D27" i="3"/>
  <c r="D23" i="3"/>
  <c r="C24" i="3"/>
  <c r="C25" i="3"/>
  <c r="C26" i="3"/>
  <c r="C27" i="3"/>
  <c r="C23" i="3"/>
  <c r="B6" i="3"/>
  <c r="C6" i="3"/>
  <c r="D6" i="3"/>
  <c r="A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D97C1-4E88-4B2E-A06F-B56434FE5A8C}" keepAlive="1" name="Query - inventory_snapshot" description="Connection to the 'inventory_snapshot' query in the workbook." type="5" refreshedVersion="8" background="1" saveData="1">
    <dbPr connection="Provider=Microsoft.Mashup.OleDb.1;Data Source=$Workbook$;Location=inventory_snapshot;Extended Properties=&quot;&quot;" command="SELECT * FROM [inventory_snapshot]"/>
  </connection>
  <connection id="2" xr16:uid="{0944F399-C290-453A-BE3E-87FD616D8FBE}" keepAlive="1" name="Query - monthly_performance" description="Connection to the 'monthly_performance' query in the workbook." type="5" refreshedVersion="8" background="1" saveData="1">
    <dbPr connection="Provider=Microsoft.Mashup.OleDb.1;Data Source=$Workbook$;Location=monthly_performance;Extended Properties=&quot;&quot;" command="SELECT * FROM [monthly_performance]"/>
  </connection>
  <connection id="3" xr16:uid="{06994383-008B-48BE-B679-FC65F5928A49}" keepAlive="1" name="Query - product_performance" description="Connection to the 'product_performance' query in the workbook." type="5" refreshedVersion="8" background="1" saveData="1">
    <dbPr connection="Provider=Microsoft.Mashup.OleDb.1;Data Source=$Workbook$;Location=product_performance;Extended Properties=&quot;&quot;" command="SELECT * FROM [product_performance]"/>
  </connection>
  <connection id="4" xr16:uid="{FF197400-C6F8-4AAE-A385-BD4CC89B4270}" keepAlive="1" name="Query - sales_velocity" description="Connection to the 'sales_velocity' query in the workbook." type="5" refreshedVersion="8" background="1" saveData="1">
    <dbPr connection="Provider=Microsoft.Mashup.OleDb.1;Data Source=$Workbook$;Location=sales_velocity;Extended Properties=&quot;&quot;" command="SELECT * FROM [sales_velocity]"/>
  </connection>
  <connection id="5" xr16:uid="{5EC1D4AC-FF26-4B7B-B32A-34E288719F9A}" keepAlive="1" name="Query - store_performance" description="Connection to the 'store_performance' query in the workbook." type="5" refreshedVersion="8" background="1" saveData="1">
    <dbPr connection="Provider=Microsoft.Mashup.OleDb.1;Data Source=$Workbook$;Location=store_performance;Extended Properties=&quot;&quot;" command="SELECT * FROM [store_performance]"/>
  </connection>
  <connection id="6" xr16:uid="{9F893224-2BFB-469B-9833-3BC726DE4FF5}" keepAlive="1" name="Query - store_performance (2)" description="Connection to the 'store_performance (2)' query in the workbook." type="5" refreshedVersion="0" background="1">
    <dbPr connection="Provider=Microsoft.Mashup.OleDb.1;Data Source=$Workbook$;Location=&quot;store_performance (2)&quot;;Extended Properties=&quot;&quot;" command="SELECT * FROM [store_performance (2)]"/>
  </connection>
  <connection id="7" xr16:uid="{F91E5863-C28A-4C12-8238-E63695615B82}" keepAlive="1" name="Query - weekday_vs_weekend" description="Connection to the 'weekday_vs_weekend' query in the workbook." type="5" refreshedVersion="8" background="1" saveData="1">
    <dbPr connection="Provider=Microsoft.Mashup.OleDb.1;Data Source=$Workbook$;Location=weekday_vs_weekend;Extended Properties=&quot;&quot;" command="SELECT * FROM [weekday_vs_weekend]"/>
  </connection>
  <connection id="8" xr16:uid="{58F0E63D-B11C-4D5D-9C76-E1633C1E0064}" keepAlive="1" name="Query - yearly_category_performance" description="Connection to the 'yearly_category_performance' query in the workbook." type="5" refreshedVersion="8" background="1" saveData="1">
    <dbPr connection="Provider=Microsoft.Mashup.OleDb.1;Data Source=$Workbook$;Location=yearly_category_performance;Extended Properties=&quot;&quot;" command="SELECT * FROM [yearly_category_performance]"/>
  </connection>
</connections>
</file>

<file path=xl/sharedStrings.xml><?xml version="1.0" encoding="utf-8"?>
<sst xmlns="http://schemas.openxmlformats.org/spreadsheetml/2006/main" count="10239" uniqueCount="655">
  <si>
    <t>sale_year</t>
  </si>
  <si>
    <t>sale_month</t>
  </si>
  <si>
    <t>month_name</t>
  </si>
  <si>
    <t>sale_quarter</t>
  </si>
  <si>
    <t>product_category</t>
  </si>
  <si>
    <t>store_location</t>
  </si>
  <si>
    <t>transaction_count</t>
  </si>
  <si>
    <t>total_units_sold</t>
  </si>
  <si>
    <t>total_revenue</t>
  </si>
  <si>
    <t>total_cogs</t>
  </si>
  <si>
    <t>total_gross_profit</t>
  </si>
  <si>
    <t>avg_gross_margin_pct</t>
  </si>
  <si>
    <t>revenue_growth_MoM</t>
  </si>
  <si>
    <t>January</t>
  </si>
  <si>
    <t>Games</t>
  </si>
  <si>
    <t>Airport</t>
  </si>
  <si>
    <t>NULL</t>
  </si>
  <si>
    <t>Electronics</t>
  </si>
  <si>
    <t>0.799</t>
  </si>
  <si>
    <t>Downtown</t>
  </si>
  <si>
    <t>2.9207</t>
  </si>
  <si>
    <t>Residential</t>
  </si>
  <si>
    <t>-0.7969</t>
  </si>
  <si>
    <t>Toys</t>
  </si>
  <si>
    <t>1.0497</t>
  </si>
  <si>
    <t>Art &amp; Crafts</t>
  </si>
  <si>
    <t>Commercial</t>
  </si>
  <si>
    <t>-0.7548</t>
  </si>
  <si>
    <t>Sports &amp; Outdoors</t>
  </si>
  <si>
    <t>0.3925</t>
  </si>
  <si>
    <t>-0.7933</t>
  </si>
  <si>
    <t>44.6056</t>
  </si>
  <si>
    <t>-0.8607</t>
  </si>
  <si>
    <t>3.1451</t>
  </si>
  <si>
    <t>-0.8824</t>
  </si>
  <si>
    <t>2.3965</t>
  </si>
  <si>
    <t>1.1262</t>
  </si>
  <si>
    <t>1.9849</t>
  </si>
  <si>
    <t>-0.8135</t>
  </si>
  <si>
    <t>-0.7357</t>
  </si>
  <si>
    <t>5.2272</t>
  </si>
  <si>
    <t>-0.5947</t>
  </si>
  <si>
    <t>-0.2593</t>
  </si>
  <si>
    <t>February</t>
  </si>
  <si>
    <t>0.1099</t>
  </si>
  <si>
    <t>0.5276</t>
  </si>
  <si>
    <t>0.9093</t>
  </si>
  <si>
    <t>-0.9437</t>
  </si>
  <si>
    <t>7.6854</t>
  </si>
  <si>
    <t>-0.3643</t>
  </si>
  <si>
    <t>1.0525</t>
  </si>
  <si>
    <t>4.4253</t>
  </si>
  <si>
    <t>-0.4476</t>
  </si>
  <si>
    <t>-0.4113</t>
  </si>
  <si>
    <t>-0.7755</t>
  </si>
  <si>
    <t>-0.2857</t>
  </si>
  <si>
    <t>5.5944</t>
  </si>
  <si>
    <t>-0.5655</t>
  </si>
  <si>
    <t>-0.1621</t>
  </si>
  <si>
    <t>-0.7826</t>
  </si>
  <si>
    <t>0.4488</t>
  </si>
  <si>
    <t>6.8697</t>
  </si>
  <si>
    <t>-0.7621</t>
  </si>
  <si>
    <t>4.8181</t>
  </si>
  <si>
    <t>March</t>
  </si>
  <si>
    <t>-0.8605</t>
  </si>
  <si>
    <t>3.094</t>
  </si>
  <si>
    <t>-0.7012</t>
  </si>
  <si>
    <t>1.1553</t>
  </si>
  <si>
    <t>1.4156</t>
  </si>
  <si>
    <t>0.0847</t>
  </si>
  <si>
    <t>-0.3238</t>
  </si>
  <si>
    <t>0.4603</t>
  </si>
  <si>
    <t>1.8214</t>
  </si>
  <si>
    <t>-0.4943</t>
  </si>
  <si>
    <t>-0.7583</t>
  </si>
  <si>
    <t>-0.3875</t>
  </si>
  <si>
    <t>-0.0136</t>
  </si>
  <si>
    <t>0.4828</t>
  </si>
  <si>
    <t>-0.0031</t>
  </si>
  <si>
    <t>-0.2554</t>
  </si>
  <si>
    <t>-0.4491</t>
  </si>
  <si>
    <t>1.2083</t>
  </si>
  <si>
    <t>-0.7597</t>
  </si>
  <si>
    <t>8.199</t>
  </si>
  <si>
    <t>April</t>
  </si>
  <si>
    <t>0.1339</t>
  </si>
  <si>
    <t>-0.5277</t>
  </si>
  <si>
    <t>0.3665</t>
  </si>
  <si>
    <t>0.7195</t>
  </si>
  <si>
    <t>3.2283</t>
  </si>
  <si>
    <t>-0.942</t>
  </si>
  <si>
    <t>0.0283</t>
  </si>
  <si>
    <t>6.4061</t>
  </si>
  <si>
    <t>-0.8534</t>
  </si>
  <si>
    <t>-0.1278</t>
  </si>
  <si>
    <t>-0.3221</t>
  </si>
  <si>
    <t>1.3867</t>
  </si>
  <si>
    <t>3.3364</t>
  </si>
  <si>
    <t>-0.7681</t>
  </si>
  <si>
    <t>0.4425</t>
  </si>
  <si>
    <t>-0.635</t>
  </si>
  <si>
    <t>0.3661</t>
  </si>
  <si>
    <t>4.3885</t>
  </si>
  <si>
    <t>-0.4665</t>
  </si>
  <si>
    <t>May</t>
  </si>
  <si>
    <t>0.6551</t>
  </si>
  <si>
    <t>-0.6918</t>
  </si>
  <si>
    <t>-0.3991</t>
  </si>
  <si>
    <t>-0.1509</t>
  </si>
  <si>
    <t>0.7797</t>
  </si>
  <si>
    <t>-0.4093</t>
  </si>
  <si>
    <t>1.1702</t>
  </si>
  <si>
    <t>-0.5458</t>
  </si>
  <si>
    <t>5.552</t>
  </si>
  <si>
    <t>-0.9219</t>
  </si>
  <si>
    <t>0.9271</t>
  </si>
  <si>
    <t>6.3041</t>
  </si>
  <si>
    <t>-0.3608</t>
  </si>
  <si>
    <t>0.2375</t>
  </si>
  <si>
    <t>-0.5525</t>
  </si>
  <si>
    <t>-0.0833</t>
  </si>
  <si>
    <t>7.0203</t>
  </si>
  <si>
    <t>-0.7571</t>
  </si>
  <si>
    <t>-0.2419</t>
  </si>
  <si>
    <t>-0.7312</t>
  </si>
  <si>
    <t>June</t>
  </si>
  <si>
    <t>6.0895</t>
  </si>
  <si>
    <t>-0.836</t>
  </si>
  <si>
    <t>0.8303</t>
  </si>
  <si>
    <t>0.6837</t>
  </si>
  <si>
    <t>0.107</t>
  </si>
  <si>
    <t>3.3741</t>
  </si>
  <si>
    <t>-0.9244</t>
  </si>
  <si>
    <t>-0.6883</t>
  </si>
  <si>
    <t>2.2266</t>
  </si>
  <si>
    <t>0.1265</t>
  </si>
  <si>
    <t>1.6991</t>
  </si>
  <si>
    <t>-0.6234</t>
  </si>
  <si>
    <t>0.6092</t>
  </si>
  <si>
    <t>1.7238</t>
  </si>
  <si>
    <t>-0.5665</t>
  </si>
  <si>
    <t>-0.5407</t>
  </si>
  <si>
    <t>-0.2895</t>
  </si>
  <si>
    <t>6.6445</t>
  </si>
  <si>
    <t>0.1083</t>
  </si>
  <si>
    <t>-0.4987</t>
  </si>
  <si>
    <t>July</t>
  </si>
  <si>
    <t>-0.562</t>
  </si>
  <si>
    <t>1.2781</t>
  </si>
  <si>
    <t>-0.7224</t>
  </si>
  <si>
    <t>0.5062</t>
  </si>
  <si>
    <t>-0.3175</t>
  </si>
  <si>
    <t>4.6184</t>
  </si>
  <si>
    <t>0.0408</t>
  </si>
  <si>
    <t>1.3819</t>
  </si>
  <si>
    <t>0.1264</t>
  </si>
  <si>
    <t>-0.6261</t>
  </si>
  <si>
    <t>0.2101</t>
  </si>
  <si>
    <t>0.5695</t>
  </si>
  <si>
    <t>1.7363</t>
  </si>
  <si>
    <t>-0.6988</t>
  </si>
  <si>
    <t>-0.6531</t>
  </si>
  <si>
    <t>4.1739</t>
  </si>
  <si>
    <t>1.3793</t>
  </si>
  <si>
    <t>-0.8099</t>
  </si>
  <si>
    <t>-0.3882</t>
  </si>
  <si>
    <t>August</t>
  </si>
  <si>
    <t>0.2562</t>
  </si>
  <si>
    <t>0.4451</t>
  </si>
  <si>
    <t>-0.5218</t>
  </si>
  <si>
    <t>-0.3975</t>
  </si>
  <si>
    <t>3.9108</t>
  </si>
  <si>
    <t>-0.5625</t>
  </si>
  <si>
    <t>14.2246</t>
  </si>
  <si>
    <t>-0.7913</t>
  </si>
  <si>
    <t>0.1134</t>
  </si>
  <si>
    <t>1.5895</t>
  </si>
  <si>
    <t>2.2253</t>
  </si>
  <si>
    <t>-0.8241</t>
  </si>
  <si>
    <t>1.5571</t>
  </si>
  <si>
    <t>-0.6769</t>
  </si>
  <si>
    <t>3.6236</t>
  </si>
  <si>
    <t>-0.8248</t>
  </si>
  <si>
    <t>3.6947</t>
  </si>
  <si>
    <t>0.4436</t>
  </si>
  <si>
    <t>-0.7459</t>
  </si>
  <si>
    <t>September</t>
  </si>
  <si>
    <t>-0.2835</t>
  </si>
  <si>
    <t>3.0618</t>
  </si>
  <si>
    <t>-0.8288</t>
  </si>
  <si>
    <t>-0.1615</t>
  </si>
  <si>
    <t>2.3529</t>
  </si>
  <si>
    <t>-0.6367</t>
  </si>
  <si>
    <t>0.8066</t>
  </si>
  <si>
    <t>-0.0319</t>
  </si>
  <si>
    <t>-0.2629</t>
  </si>
  <si>
    <t>13.2816</t>
  </si>
  <si>
    <t>-0.9602</t>
  </si>
  <si>
    <t>8.6861</t>
  </si>
  <si>
    <t>-0.9017</t>
  </si>
  <si>
    <t>4.657</t>
  </si>
  <si>
    <t>0.2906</t>
  </si>
  <si>
    <t>0.0016</t>
  </si>
  <si>
    <t>0.282</t>
  </si>
  <si>
    <t>-0.83</t>
  </si>
  <si>
    <t>0.7589</t>
  </si>
  <si>
    <t>0.9175</t>
  </si>
  <si>
    <t>October</t>
  </si>
  <si>
    <t>-0.4906</t>
  </si>
  <si>
    <t>0.0592</t>
  </si>
  <si>
    <t>-0.1136</t>
  </si>
  <si>
    <t>3.3215</t>
  </si>
  <si>
    <t>-0.1419</t>
  </si>
  <si>
    <t>-0.2179</t>
  </si>
  <si>
    <t>-0.7599</t>
  </si>
  <si>
    <t>0.2257</t>
  </si>
  <si>
    <t>3.0273</t>
  </si>
  <si>
    <t>-0.6673</t>
  </si>
  <si>
    <t>0.1162</t>
  </si>
  <si>
    <t>0.6718</t>
  </si>
  <si>
    <t>1.0596</t>
  </si>
  <si>
    <t>-0.9158</t>
  </si>
  <si>
    <t>24.0549</t>
  </si>
  <si>
    <t>-0.8989</t>
  </si>
  <si>
    <t>1.4038</t>
  </si>
  <si>
    <t>-0.7634</t>
  </si>
  <si>
    <t>0.4102</t>
  </si>
  <si>
    <t>-0.3827</t>
  </si>
  <si>
    <t>November</t>
  </si>
  <si>
    <t>2.3804</t>
  </si>
  <si>
    <t>0.2581</t>
  </si>
  <si>
    <t>0.5329</t>
  </si>
  <si>
    <t>-0.8761</t>
  </si>
  <si>
    <t>1.1414</t>
  </si>
  <si>
    <t>4.6926</t>
  </si>
  <si>
    <t>-0.2866</t>
  </si>
  <si>
    <t>-0.1947</t>
  </si>
  <si>
    <t>-0.6639</t>
  </si>
  <si>
    <t>-0.0624</t>
  </si>
  <si>
    <t>-0.2569</t>
  </si>
  <si>
    <t>1.5516</t>
  </si>
  <si>
    <t>5.2742</t>
  </si>
  <si>
    <t>-0.9255</t>
  </si>
  <si>
    <t>0.0963</t>
  </si>
  <si>
    <t>0.4868</t>
  </si>
  <si>
    <t>-0.4381</t>
  </si>
  <si>
    <t>0.797</t>
  </si>
  <si>
    <t>3.0418</t>
  </si>
  <si>
    <t>-0.2514</t>
  </si>
  <si>
    <t>December</t>
  </si>
  <si>
    <t>1.9742</t>
  </si>
  <si>
    <t>-0.9189</t>
  </si>
  <si>
    <t>0.6815</t>
  </si>
  <si>
    <t>-0.3363</t>
  </si>
  <si>
    <t>1.9644</t>
  </si>
  <si>
    <t>-0.2748</t>
  </si>
  <si>
    <t>2.5722</t>
  </si>
  <si>
    <t>-0.6213</t>
  </si>
  <si>
    <t>-0.3549</t>
  </si>
  <si>
    <t>1.8659</t>
  </si>
  <si>
    <t>-0.32</t>
  </si>
  <si>
    <t>1.1349</t>
  </si>
  <si>
    <t>-0.8906</t>
  </si>
  <si>
    <t>0.7236</t>
  </si>
  <si>
    <t>-0.6289</t>
  </si>
  <si>
    <t>2.6426</t>
  </si>
  <si>
    <t>-0.4219</t>
  </si>
  <si>
    <t>2.1966</t>
  </si>
  <si>
    <t>-0.677</t>
  </si>
  <si>
    <t>-0.1904</t>
  </si>
  <si>
    <t>-0.191</t>
  </si>
  <si>
    <t>0.8834</t>
  </si>
  <si>
    <t>0.4281</t>
  </si>
  <si>
    <t>-0.0021</t>
  </si>
  <si>
    <t>-0.6617</t>
  </si>
  <si>
    <t>0.3351</t>
  </si>
  <si>
    <t>7.8115</t>
  </si>
  <si>
    <t>-0.9361</t>
  </si>
  <si>
    <t>0.8323</t>
  </si>
  <si>
    <t>2.0134</t>
  </si>
  <si>
    <t>0.9341</t>
  </si>
  <si>
    <t>-0.4631</t>
  </si>
  <si>
    <t>-0.5031</t>
  </si>
  <si>
    <t>-0.1814</t>
  </si>
  <si>
    <t>-0.2557</t>
  </si>
  <si>
    <t>0.3926</t>
  </si>
  <si>
    <t>6.3278</t>
  </si>
  <si>
    <t>-0.6305</t>
  </si>
  <si>
    <t>-0.0185</t>
  </si>
  <si>
    <t>-0.757</t>
  </si>
  <si>
    <t>2.7961</t>
  </si>
  <si>
    <t>-0.6917</t>
  </si>
  <si>
    <t>2.4626</t>
  </si>
  <si>
    <t>-0.4276</t>
  </si>
  <si>
    <t>-0.7281</t>
  </si>
  <si>
    <t>5.8651</t>
  </si>
  <si>
    <t>-0.6443</t>
  </si>
  <si>
    <t>-0.2279</t>
  </si>
  <si>
    <t>0.3038</t>
  </si>
  <si>
    <t>0.286</t>
  </si>
  <si>
    <t>0.1218</t>
  </si>
  <si>
    <t>3.2338</t>
  </si>
  <si>
    <t>-0.3164</t>
  </si>
  <si>
    <t>-0.8375</t>
  </si>
  <si>
    <t>2.2494</t>
  </si>
  <si>
    <t>-0.7428</t>
  </si>
  <si>
    <t>0.3621</t>
  </si>
  <si>
    <t>8.236</t>
  </si>
  <si>
    <t>-0.9047</t>
  </si>
  <si>
    <t>-0.3269</t>
  </si>
  <si>
    <t>7.7888</t>
  </si>
  <si>
    <t>-0.7159</t>
  </si>
  <si>
    <t>-0.3467</t>
  </si>
  <si>
    <t>3.6287</t>
  </si>
  <si>
    <t>-0.5599</t>
  </si>
  <si>
    <t>-0.45</t>
  </si>
  <si>
    <t>0.9399</t>
  </si>
  <si>
    <t>-0.6941</t>
  </si>
  <si>
    <t>1.5026</t>
  </si>
  <si>
    <t>4.3332</t>
  </si>
  <si>
    <t>-0.8918</t>
  </si>
  <si>
    <t>2.402</t>
  </si>
  <si>
    <t>0.0313</t>
  </si>
  <si>
    <t>2.6495</t>
  </si>
  <si>
    <t>-0.9427</t>
  </si>
  <si>
    <t>1.0571</t>
  </si>
  <si>
    <t>1.5574</t>
  </si>
  <si>
    <t>-0.7356</t>
  </si>
  <si>
    <t>1.3254</t>
  </si>
  <si>
    <t>1.3134</t>
  </si>
  <si>
    <t>-0.8061</t>
  </si>
  <si>
    <t>-0.3144</t>
  </si>
  <si>
    <t>3.4915</t>
  </si>
  <si>
    <t>-0.727</t>
  </si>
  <si>
    <t>-0.1431</t>
  </si>
  <si>
    <t>-0.0233</t>
  </si>
  <si>
    <t>0.862</t>
  </si>
  <si>
    <t>3.1008</t>
  </si>
  <si>
    <t>-0.6819</t>
  </si>
  <si>
    <t>1.1417</t>
  </si>
  <si>
    <t>-0.514</t>
  </si>
  <si>
    <t>4.8379</t>
  </si>
  <si>
    <t>-0.5527</t>
  </si>
  <si>
    <t>-0.7218</t>
  </si>
  <si>
    <t>0.6605</t>
  </si>
  <si>
    <t>0.7696</t>
  </si>
  <si>
    <t>-0.5181</t>
  </si>
  <si>
    <t>-0.0604</t>
  </si>
  <si>
    <t>4.422</t>
  </si>
  <si>
    <t>-0.7897</t>
  </si>
  <si>
    <t>-0.3119</t>
  </si>
  <si>
    <t>7.0384</t>
  </si>
  <si>
    <t>-0.9102</t>
  </si>
  <si>
    <t>-0.0768</t>
  </si>
  <si>
    <t>2.5721</t>
  </si>
  <si>
    <t>0.2742</t>
  </si>
  <si>
    <t>-0.8697</t>
  </si>
  <si>
    <t>-0.0428</t>
  </si>
  <si>
    <t>6.7203</t>
  </si>
  <si>
    <t>-0.2012</t>
  </si>
  <si>
    <t>0.7181</t>
  </si>
  <si>
    <t>-0.839</t>
  </si>
  <si>
    <t>1.3441</t>
  </si>
  <si>
    <t>-0.5686</t>
  </si>
  <si>
    <t>9.7977</t>
  </si>
  <si>
    <t>-0.8308</t>
  </si>
  <si>
    <t>0.2064</t>
  </si>
  <si>
    <t>0.1952</t>
  </si>
  <si>
    <t>-0.2049</t>
  </si>
  <si>
    <t>-0.0458</t>
  </si>
  <si>
    <t>4.0009</t>
  </si>
  <si>
    <t>-0.587</t>
  </si>
  <si>
    <t>-0.878</t>
  </si>
  <si>
    <t>24.9988</t>
  </si>
  <si>
    <t>-0.8177</t>
  </si>
  <si>
    <t>-0.3081</t>
  </si>
  <si>
    <t>-0.3693</t>
  </si>
  <si>
    <t>1.7211</t>
  </si>
  <si>
    <t>-0.3348</t>
  </si>
  <si>
    <t>-0.3985</t>
  </si>
  <si>
    <t>-0.4103</t>
  </si>
  <si>
    <t>4.0534</t>
  </si>
  <si>
    <t>-0.723</t>
  </si>
  <si>
    <t>-0.0266</t>
  </si>
  <si>
    <t>2.7389</t>
  </si>
  <si>
    <t>0.8357</t>
  </si>
  <si>
    <t>-0.6511</t>
  </si>
  <si>
    <t>-0.0282</t>
  </si>
  <si>
    <t>-0.6726</t>
  </si>
  <si>
    <t>5.9584</t>
  </si>
  <si>
    <t>-0.2547</t>
  </si>
  <si>
    <t>-0.8095</t>
  </si>
  <si>
    <t>17.549</t>
  </si>
  <si>
    <t>-0.8804</t>
  </si>
  <si>
    <t>-0.198</t>
  </si>
  <si>
    <t>6.4972</t>
  </si>
  <si>
    <t>-0.9359</t>
  </si>
  <si>
    <t>0.7133</t>
  </si>
  <si>
    <t>0.7573</t>
  </si>
  <si>
    <t>2.2943</t>
  </si>
  <si>
    <t>-0.8874</t>
  </si>
  <si>
    <t>3.4139</t>
  </si>
  <si>
    <t>-0.2506</t>
  </si>
  <si>
    <t>0.2155</t>
  </si>
  <si>
    <t>-0.6247</t>
  </si>
  <si>
    <t>1.1945</t>
  </si>
  <si>
    <t>-0.1361</t>
  </si>
  <si>
    <t>1.6232</t>
  </si>
  <si>
    <t>-0.2021</t>
  </si>
  <si>
    <t>0.3305</t>
  </si>
  <si>
    <t>-0.8511</t>
  </si>
  <si>
    <t>3.7572</t>
  </si>
  <si>
    <t>1.00</t>
  </si>
  <si>
    <t>-0.7697</t>
  </si>
  <si>
    <t>1.7568</t>
  </si>
  <si>
    <t>-0.8941</t>
  </si>
  <si>
    <t>4.0407</t>
  </si>
  <si>
    <t>-0.0976</t>
  </si>
  <si>
    <t>-0.4036</t>
  </si>
  <si>
    <t>-0.5134</t>
  </si>
  <si>
    <t>0.5547</t>
  </si>
  <si>
    <t>-0.2139</t>
  </si>
  <si>
    <t>0.6371</t>
  </si>
  <si>
    <t>0.255</t>
  </si>
  <si>
    <t>0.1956</t>
  </si>
  <si>
    <t>4.4107</t>
  </si>
  <si>
    <t>-0.6227</t>
  </si>
  <si>
    <t>-0.1218</t>
  </si>
  <si>
    <t>-0.7323</t>
  </si>
  <si>
    <t>-0.2227</t>
  </si>
  <si>
    <t>0.5399</t>
  </si>
  <si>
    <t>-0.2445</t>
  </si>
  <si>
    <t>4.6861</t>
  </si>
  <si>
    <t>-0.8752</t>
  </si>
  <si>
    <t>13.6141</t>
  </si>
  <si>
    <t>-0.8492</t>
  </si>
  <si>
    <t>-0.4641</t>
  </si>
  <si>
    <t>1.5176</t>
  </si>
  <si>
    <t>-0.2612</t>
  </si>
  <si>
    <t>1.3067</t>
  </si>
  <si>
    <t>0.0503</t>
  </si>
  <si>
    <t>2.2348</t>
  </si>
  <si>
    <t>-0.8024</t>
  </si>
  <si>
    <t>-0.382</t>
  </si>
  <si>
    <t>1.5146</t>
  </si>
  <si>
    <t>-0.3519</t>
  </si>
  <si>
    <t>-0.7494</t>
  </si>
  <si>
    <t>5.1383</t>
  </si>
  <si>
    <t>-0.8329</t>
  </si>
  <si>
    <t>0.3349</t>
  </si>
  <si>
    <t>Product_Category</t>
  </si>
  <si>
    <t>pct_of_year_revenue</t>
  </si>
  <si>
    <t>pct_of_gross_profit</t>
  </si>
  <si>
    <t>store_id</t>
  </si>
  <si>
    <t>store_name</t>
  </si>
  <si>
    <t>product_id</t>
  </si>
  <si>
    <t>product_name</t>
  </si>
  <si>
    <t>stock_on_hand</t>
  </si>
  <si>
    <t>estimated_days_of_stock_left</t>
  </si>
  <si>
    <t>stock_status</t>
  </si>
  <si>
    <t>Maven Toys Guadalajara 1</t>
  </si>
  <si>
    <t>Animal Figures</t>
  </si>
  <si>
    <t>Stock Out</t>
  </si>
  <si>
    <t>Classic Dominoes</t>
  </si>
  <si>
    <t>Maven Toys Monterrey 1</t>
  </si>
  <si>
    <t>Action Figure</t>
  </si>
  <si>
    <t>Toy Robot</t>
  </si>
  <si>
    <t>Dino Egg</t>
  </si>
  <si>
    <t>Etch A Sketch</t>
  </si>
  <si>
    <t>Maven Toys Guadalajara 2</t>
  </si>
  <si>
    <t>Hot Wheels 5-Pack</t>
  </si>
  <si>
    <t>Plush Pony</t>
  </si>
  <si>
    <t>Maven Toys Saltillo 1</t>
  </si>
  <si>
    <t>Maven Toys La Paz 1</t>
  </si>
  <si>
    <t>Foam Disk Launcher</t>
  </si>
  <si>
    <t>Mini Ping Pong Set</t>
  </si>
  <si>
    <t>Playfoam</t>
  </si>
  <si>
    <t>Maven Toys Mexicali 1</t>
  </si>
  <si>
    <t>Maven Toys Monterrey 2</t>
  </si>
  <si>
    <t>Maven Toys Pachuca 1</t>
  </si>
  <si>
    <t>Gamer Headphones</t>
  </si>
  <si>
    <t>Glass Marbles</t>
  </si>
  <si>
    <t>Maven Toys Cuernavaca 1</t>
  </si>
  <si>
    <t>Maven Toys Mexicali 2</t>
  </si>
  <si>
    <t>Maven Toys Guanajuato 1</t>
  </si>
  <si>
    <t>Maven Toys Tuxtla Gutierrez 1</t>
  </si>
  <si>
    <t>Maven Toys San Luis Potosi 1</t>
  </si>
  <si>
    <t>Maven Toys Merida 1</t>
  </si>
  <si>
    <t>Maven Toys Puebla 1</t>
  </si>
  <si>
    <t>Teddy Bear</t>
  </si>
  <si>
    <t>Maven Toys Zacatecas 1</t>
  </si>
  <si>
    <t>Maven Toys Guanajuato 2</t>
  </si>
  <si>
    <t>Barrel O' Slime</t>
  </si>
  <si>
    <t>Maven Toys Aguascalientes 1</t>
  </si>
  <si>
    <t>Maven Toys Ciudad Victoria 1</t>
  </si>
  <si>
    <t>Splash Balls</t>
  </si>
  <si>
    <t>Maven Toys Oaxaca 1</t>
  </si>
  <si>
    <t>Maven Toys Puebla 2</t>
  </si>
  <si>
    <t>Maven Toys Hermosillo 1</t>
  </si>
  <si>
    <t>Maven Toys Monterrey 3</t>
  </si>
  <si>
    <t>Maven Toys Villahermosa 1</t>
  </si>
  <si>
    <t>Maven Toys Chilpancingo 1</t>
  </si>
  <si>
    <t>Maven Toys Morelia 1</t>
  </si>
  <si>
    <t>Chutes &amp; Ladders</t>
  </si>
  <si>
    <t>Maven Toys Ciudad de Mexico 3</t>
  </si>
  <si>
    <t>Mr. Potatohead</t>
  </si>
  <si>
    <t>Supersoaker Water Gun</t>
  </si>
  <si>
    <t>Maven Toys Chihuahua 2</t>
  </si>
  <si>
    <t>Maven Toys Xalapa 2</t>
  </si>
  <si>
    <t>Maven Toys Toluca 2</t>
  </si>
  <si>
    <t>Maven Toys Hermosillo 2</t>
  </si>
  <si>
    <t>Maven Toys Hermosillo 3</t>
  </si>
  <si>
    <t>Jenga</t>
  </si>
  <si>
    <t>Maven Toys Puebla 3</t>
  </si>
  <si>
    <t>Maven Toys Ciudad de Mexico 4</t>
  </si>
  <si>
    <t>Maven Toys Saltillo 2</t>
  </si>
  <si>
    <t>Maven Toys Culiacan 1</t>
  </si>
  <si>
    <t>Maven Toys Guanajuato 3</t>
  </si>
  <si>
    <t>PlayDoh Playset</t>
  </si>
  <si>
    <t>Dead Stock</t>
  </si>
  <si>
    <t>Maven Toys Xalapa 1</t>
  </si>
  <si>
    <t>Magic Sand</t>
  </si>
  <si>
    <t>Potential Stockout Risk</t>
  </si>
  <si>
    <t>Nerf Gun</t>
  </si>
  <si>
    <t>PlayDoh Can</t>
  </si>
  <si>
    <t>PlayDoh Toolkit</t>
  </si>
  <si>
    <t>Colorbuds</t>
  </si>
  <si>
    <t>Dart Gun</t>
  </si>
  <si>
    <t>Deck Of Cards</t>
  </si>
  <si>
    <t>Rubik's Cube</t>
  </si>
  <si>
    <t>Kids Makeup Kit</t>
  </si>
  <si>
    <t>Lego Bricks</t>
  </si>
  <si>
    <t>Mini Basketball Hoop</t>
  </si>
  <si>
    <t>Dinosaur Figures</t>
  </si>
  <si>
    <t>Maven Toys Chetumal 1</t>
  </si>
  <si>
    <t>Monopoly</t>
  </si>
  <si>
    <t>Maven Toys Santiago 1</t>
  </si>
  <si>
    <t>Maven Toys Toluca 1</t>
  </si>
  <si>
    <t>Uno Card Game</t>
  </si>
  <si>
    <t>Maven Toys Ciudad de Mexico 1</t>
  </si>
  <si>
    <t>Maven Toys Campeche 1</t>
  </si>
  <si>
    <t>Maven Toys Ciudad de Mexico 2</t>
  </si>
  <si>
    <t>Maven Toys Guadalajara 3</t>
  </si>
  <si>
    <t>Maven Toys Campeche 2</t>
  </si>
  <si>
    <t>Maven Toys Chihuahua 1</t>
  </si>
  <si>
    <t>Maven Toys Monterrey 4</t>
  </si>
  <si>
    <t>Maven Toys Guadalajara 4</t>
  </si>
  <si>
    <t>Maven Toys Durango 1</t>
  </si>
  <si>
    <t>Adequate</t>
  </si>
  <si>
    <t>Overstocked</t>
  </si>
  <si>
    <t>Product_ID</t>
  </si>
  <si>
    <t>Product_Name</t>
  </si>
  <si>
    <t>pct_of_total_revenue</t>
  </si>
  <si>
    <t>units_sold_rank</t>
  </si>
  <si>
    <t>revenue_rank</t>
  </si>
  <si>
    <t>gross_profit_rank</t>
  </si>
  <si>
    <t>margin_rank</t>
  </si>
  <si>
    <t>revenue_tile</t>
  </si>
  <si>
    <t>performance_group</t>
  </si>
  <si>
    <t>Top 20%</t>
  </si>
  <si>
    <t>Middle 60%</t>
  </si>
  <si>
    <t>Bottom 20%</t>
  </si>
  <si>
    <t>total_sales_day</t>
  </si>
  <si>
    <t>units_per_day_of_sale</t>
  </si>
  <si>
    <t>avg_daily_unit_full_period</t>
  </si>
  <si>
    <t>units_rank</t>
  </si>
  <si>
    <t>velocity_quintile</t>
  </si>
  <si>
    <t>velocity_category</t>
  </si>
  <si>
    <t>Fast Mover (Top 20%)</t>
  </si>
  <si>
    <t>Medium Mover</t>
  </si>
  <si>
    <t>Slow Mover (Bottom 20%)</t>
  </si>
  <si>
    <t>Store_ID</t>
  </si>
  <si>
    <t>Store_Name</t>
  </si>
  <si>
    <t>Store_Location</t>
  </si>
  <si>
    <t>Store_City</t>
  </si>
  <si>
    <t>Cuidad de Mexico</t>
  </si>
  <si>
    <t>Guadalajara</t>
  </si>
  <si>
    <t>Toluca</t>
  </si>
  <si>
    <t>Monterrey</t>
  </si>
  <si>
    <t>Hermosillo</t>
  </si>
  <si>
    <t>Xalapa</t>
  </si>
  <si>
    <t>Saltillo</t>
  </si>
  <si>
    <t>Guanajuato</t>
  </si>
  <si>
    <t>Campeche</t>
  </si>
  <si>
    <t>Ciudad Victoria</t>
  </si>
  <si>
    <t>Mexicali</t>
  </si>
  <si>
    <t>Puebla</t>
  </si>
  <si>
    <t>Santiago</t>
  </si>
  <si>
    <t>Morelia</t>
  </si>
  <si>
    <t>Chihuahua</t>
  </si>
  <si>
    <t>San Luis Potosi</t>
  </si>
  <si>
    <t>Chetumal</t>
  </si>
  <si>
    <t>Villahermosa</t>
  </si>
  <si>
    <t>Culiacan</t>
  </si>
  <si>
    <t>Chilpancingo</t>
  </si>
  <si>
    <t>Oaxaca</t>
  </si>
  <si>
    <t>Aguascalientes</t>
  </si>
  <si>
    <t>Pachuca</t>
  </si>
  <si>
    <t>Merida</t>
  </si>
  <si>
    <t>Zacatecas</t>
  </si>
  <si>
    <t>Tuxtla Gutierrez</t>
  </si>
  <si>
    <t>Durango</t>
  </si>
  <si>
    <t>Cuernavaca</t>
  </si>
  <si>
    <t>La Paz</t>
  </si>
  <si>
    <t>day_name</t>
  </si>
  <si>
    <t>day_number</t>
  </si>
  <si>
    <t>day_type</t>
  </si>
  <si>
    <t>avg_transaction_value</t>
  </si>
  <si>
    <t>Sunday</t>
  </si>
  <si>
    <t>Weekend</t>
  </si>
  <si>
    <t>Monday</t>
  </si>
  <si>
    <t>Weekday</t>
  </si>
  <si>
    <t>Tuesday</t>
  </si>
  <si>
    <t>Wednesday</t>
  </si>
  <si>
    <t>Thursday</t>
  </si>
  <si>
    <t>Friday</t>
  </si>
  <si>
    <t>Saturday</t>
  </si>
  <si>
    <t>Sum of total_revenue</t>
  </si>
  <si>
    <t>Sum of total_gross_profit</t>
  </si>
  <si>
    <t>Sum of total_units_sold</t>
  </si>
  <si>
    <t>Average of avg_gross_margin_pct</t>
  </si>
  <si>
    <t>Maven Toys Mexico Retail Performance Dashboard</t>
  </si>
  <si>
    <t>Revenue by Store Location</t>
  </si>
  <si>
    <t>Row Labels</t>
  </si>
  <si>
    <t>Grand Total</t>
  </si>
  <si>
    <t>Revenue share by category</t>
  </si>
  <si>
    <t>Profit share by category</t>
  </si>
  <si>
    <t>Sum of transaction_count</t>
  </si>
  <si>
    <t>AOV</t>
  </si>
  <si>
    <t>total units sold by location</t>
  </si>
  <si>
    <t>top 5 products by revenue</t>
  </si>
  <si>
    <t>monthly revenue</t>
  </si>
  <si>
    <t>refined_month</t>
  </si>
  <si>
    <t>Jan</t>
  </si>
  <si>
    <t>Feb</t>
  </si>
  <si>
    <t>Mar</t>
  </si>
  <si>
    <t>Apr</t>
  </si>
  <si>
    <t>Jun</t>
  </si>
  <si>
    <t>Jul</t>
  </si>
  <si>
    <t>Aug</t>
  </si>
  <si>
    <t>Sep</t>
  </si>
  <si>
    <t>Oct</t>
  </si>
  <si>
    <t>Nov</t>
  </si>
  <si>
    <t>Dec</t>
  </si>
  <si>
    <t>revenue by day of week</t>
  </si>
  <si>
    <t>refined_name</t>
  </si>
  <si>
    <t>Sun</t>
  </si>
  <si>
    <t>Mon</t>
  </si>
  <si>
    <t>Tue</t>
  </si>
  <si>
    <t>Wed</t>
  </si>
  <si>
    <t>Thu</t>
  </si>
  <si>
    <t>Fri</t>
  </si>
  <si>
    <t>Sat</t>
  </si>
  <si>
    <t>top 5 store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</si>
</sst>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_(&quot;$&quot;* #,##0_);_(&quot;$&quot;* \(#,##0\);_(&quot;$&quot;* &quot;-&quot;??_);_(@_)"/>
    <numFmt numFmtId="165" formatCode="0.00\%"/>
    <numFmt numFmtId="166" formatCode="_(* #,##0_);_(* \(#,##0\);_(* &quot;-&quot;??_);_(@_)"/>
    <numFmt numFmtId="167" formatCode="&quot;$&quot;#,##0"/>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sz val="11"/>
      <color theme="0" tint="-0.14999847407452621"/>
      <name val="Aptos Narrow"/>
      <family val="2"/>
      <scheme val="minor"/>
    </font>
    <font>
      <b/>
      <sz val="22"/>
      <color theme="1"/>
      <name val="Aptos Display"/>
      <family val="2"/>
      <scheme val="maj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0" fillId="0" borderId="0" xfId="0" applyAlignment="1">
      <alignment horizontal="right"/>
    </xf>
    <xf numFmtId="164" fontId="0" fillId="0" borderId="0" xfId="0" applyNumberFormat="1"/>
    <xf numFmtId="165" fontId="0" fillId="0" borderId="0" xfId="0" applyNumberFormat="1"/>
    <xf numFmtId="0" fontId="2" fillId="0" borderId="0" xfId="0" applyFont="1"/>
    <xf numFmtId="0" fontId="3" fillId="0" borderId="0" xfId="0" applyFont="1"/>
    <xf numFmtId="0" fontId="3" fillId="2" borderId="0" xfId="0" applyFont="1" applyFill="1"/>
    <xf numFmtId="0" fontId="0" fillId="2" borderId="0" xfId="0" applyFill="1"/>
    <xf numFmtId="166" fontId="0" fillId="0" borderId="0" xfId="0" applyNumberFormat="1"/>
    <xf numFmtId="166"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44" fontId="0" fillId="0" borderId="0" xfId="0" applyNumberFormat="1"/>
    <xf numFmtId="167" fontId="0" fillId="0" borderId="0" xfId="0" applyNumberFormat="1"/>
    <xf numFmtId="0" fontId="4" fillId="2" borderId="0" xfId="0" applyFont="1" applyFill="1" applyAlignment="1">
      <alignment vertical="center"/>
    </xf>
    <xf numFmtId="0" fontId="4" fillId="2" borderId="0" xfId="0" applyFont="1" applyFill="1"/>
    <xf numFmtId="0" fontId="4" fillId="2" borderId="1" xfId="0" applyFont="1" applyFill="1" applyBorder="1" applyAlignment="1">
      <alignment horizontal="center" vertical="top"/>
    </xf>
    <xf numFmtId="0" fontId="4" fillId="2" borderId="0" xfId="0" applyFont="1" applyFill="1" applyBorder="1" applyAlignment="1">
      <alignment horizontal="center" vertical="top"/>
    </xf>
    <xf numFmtId="0" fontId="4" fillId="2" borderId="0" xfId="0" applyFont="1" applyFill="1" applyBorder="1" applyAlignment="1">
      <alignment vertical="top"/>
    </xf>
  </cellXfs>
  <cellStyles count="2">
    <cellStyle name="Comma" xfId="1" builtinId="3"/>
    <cellStyle name="Normal" xfId="0" builtinId="0"/>
  </cellStyles>
  <dxfs count="29">
    <dxf>
      <numFmt numFmtId="166" formatCode="_(* #,##0_);_(* \(#,##0\);_(* &quot;-&quot;??_);_(@_)"/>
    </dxf>
    <dxf>
      <numFmt numFmtId="165" formatCode="0.00\%"/>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2"/>
        <name val="Aptos Narrow"/>
        <family val="2"/>
        <scheme val="minor"/>
      </font>
      <border>
        <bottom style="thin">
          <color auto="1"/>
        </bottom>
      </border>
    </dxf>
    <dxf>
      <fill>
        <patternFill patternType="solid">
          <fgColor auto="1"/>
          <bgColor rgb="FFF2F2F2"/>
        </patternFill>
      </fill>
      <border diagonalUp="0" diagonalDown="0">
        <left/>
        <right/>
        <top/>
        <bottom/>
        <vertical/>
        <horizontal/>
      </border>
    </dxf>
  </dxfs>
  <tableStyles count="1" defaultTableStyle="TableStyleMedium2" defaultPivotStyle="PivotStyleLight16">
    <tableStyle name="Slicer Style 1" pivot="0" table="0" count="8" xr9:uid="{38CBC469-C0FC-4CFD-9B2E-40DD8B400929}">
      <tableStyleElement type="wholeTable" dxfId="28"/>
      <tableStyleElement type="headerRow" dxfId="27"/>
    </tableStyle>
  </tableStyles>
  <colors>
    <mruColors>
      <color rgb="FFF2F2F2"/>
      <color rgb="FFE6E6E6"/>
      <color rgb="FFFAF3DD"/>
      <color rgb="FF92BCEA"/>
      <color rgb="FFFFFF66"/>
      <color rgb="FFFFFFFF"/>
    </mruColors>
  </colors>
  <extLst>
    <ext xmlns:x14="http://schemas.microsoft.com/office/spreadsheetml/2009/9/main" uri="{46F421CA-312F-682f-3DD2-61675219B42D}">
      <x14:dxfs count="6">
        <dxf>
          <fill>
            <patternFill>
              <bgColor rgb="FFFFFF66"/>
            </patternFill>
          </fill>
        </dxf>
        <dxf>
          <fill>
            <patternFill>
              <bgColor rgb="FFFFFF66"/>
            </patternFill>
          </fill>
        </dxf>
        <dxf>
          <fill>
            <patternFill>
              <bgColor theme="3" tint="0.499984740745262"/>
            </patternFill>
          </fill>
        </dxf>
        <dxf>
          <fill>
            <patternFill>
              <bgColor rgb="FF92BCEA"/>
            </patternFill>
          </fill>
          <border>
            <left style="thin">
              <color auto="1"/>
            </left>
            <right style="thin">
              <color auto="1"/>
            </right>
            <top style="thin">
              <color auto="1"/>
            </top>
            <bottom style="thin">
              <color auto="1"/>
            </bottom>
          </border>
        </dxf>
        <dxf>
          <fill>
            <patternFill>
              <bgColor theme="3" tint="0.749961851863155"/>
            </patternFill>
          </fill>
        </dxf>
        <dxf>
          <fill>
            <patternFill>
              <bgColor theme="3"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Analysis.xlsx]Pivots!rev by location</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tx2">
              <a:lumMod val="75000"/>
              <a:lumOff val="25000"/>
            </a:schemeClr>
          </a:solidFill>
          <a:ln>
            <a:noFill/>
          </a:ln>
          <a:effectLst/>
        </c:spPr>
      </c:pivotFmt>
      <c:pivotFmt>
        <c:idx val="3"/>
        <c:spPr>
          <a:solidFill>
            <a:schemeClr val="tx2">
              <a:lumMod val="75000"/>
              <a:lumOff val="25000"/>
            </a:schemeClr>
          </a:solidFill>
          <a:ln>
            <a:noFill/>
          </a:ln>
          <a:effectLst/>
        </c:spPr>
      </c:pivotFmt>
    </c:pivotFmts>
    <c:plotArea>
      <c:layout/>
      <c:barChart>
        <c:barDir val="bar"/>
        <c:grouping val="clustered"/>
        <c:varyColors val="0"/>
        <c:ser>
          <c:idx val="0"/>
          <c:order val="0"/>
          <c:tx>
            <c:strRef>
              <c:f>Pivots!$B$10</c:f>
              <c:strCache>
                <c:ptCount val="1"/>
                <c:pt idx="0">
                  <c:v>Total</c:v>
                </c:pt>
              </c:strCache>
            </c:strRef>
          </c:tx>
          <c:spPr>
            <a:solidFill>
              <a:schemeClr val="accent1"/>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C5CF-4E85-B98F-221D1E63129B}"/>
              </c:ext>
            </c:extLst>
          </c:dPt>
          <c:dPt>
            <c:idx val="1"/>
            <c:invertIfNegative val="0"/>
            <c:bubble3D val="0"/>
            <c:extLst>
              <c:ext xmlns:c16="http://schemas.microsoft.com/office/drawing/2014/chart" uri="{C3380CC4-5D6E-409C-BE32-E72D297353CC}">
                <c16:uniqueId val="{00000002-C5CF-4E85-B98F-221D1E63129B}"/>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4-3F36-47B8-B685-4E3EA6441A34}"/>
              </c:ext>
            </c:extLst>
          </c:dPt>
          <c:cat>
            <c:strRef>
              <c:f>Pivots!$A$11:$A$15</c:f>
              <c:strCache>
                <c:ptCount val="4"/>
                <c:pt idx="0">
                  <c:v>Airport</c:v>
                </c:pt>
                <c:pt idx="1">
                  <c:v>Residential</c:v>
                </c:pt>
                <c:pt idx="2">
                  <c:v>Commercial</c:v>
                </c:pt>
                <c:pt idx="3">
                  <c:v>Downtown</c:v>
                </c:pt>
              </c:strCache>
            </c:strRef>
          </c:cat>
          <c:val>
            <c:numRef>
              <c:f>Pivots!$B$11:$B$15</c:f>
              <c:numCache>
                <c:formatCode>General</c:formatCode>
                <c:ptCount val="4"/>
                <c:pt idx="0">
                  <c:v>1289722.58</c:v>
                </c:pt>
                <c:pt idx="1">
                  <c:v>1656113.9800000002</c:v>
                </c:pt>
                <c:pt idx="2">
                  <c:v>3279139.5199999996</c:v>
                </c:pt>
                <c:pt idx="3">
                  <c:v>8219596.2700000014</c:v>
                </c:pt>
              </c:numCache>
            </c:numRef>
          </c:val>
          <c:extLst>
            <c:ext xmlns:c16="http://schemas.microsoft.com/office/drawing/2014/chart" uri="{C3380CC4-5D6E-409C-BE32-E72D297353CC}">
              <c16:uniqueId val="{00000000-C5CF-4E85-B98F-221D1E63129B}"/>
            </c:ext>
          </c:extLst>
        </c:ser>
        <c:dLbls>
          <c:showLegendKey val="0"/>
          <c:showVal val="0"/>
          <c:showCatName val="0"/>
          <c:showSerName val="0"/>
          <c:showPercent val="0"/>
          <c:showBubbleSize val="0"/>
        </c:dLbls>
        <c:gapWidth val="182"/>
        <c:axId val="1791588511"/>
        <c:axId val="1791582271"/>
      </c:barChart>
      <c:catAx>
        <c:axId val="179158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82271"/>
        <c:crosses val="autoZero"/>
        <c:auto val="1"/>
        <c:lblAlgn val="ctr"/>
        <c:lblOffset val="100"/>
        <c:noMultiLvlLbl val="0"/>
      </c:catAx>
      <c:valAx>
        <c:axId val="17915822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8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Stores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511089238845145"/>
          <c:y val="0.17171296296296296"/>
          <c:w val="0.564333552055993"/>
          <c:h val="0.7773611111111110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Pivots!$C$23:$C$27</c:f>
              <c:strCache>
                <c:ptCount val="5"/>
                <c:pt idx="0">
                  <c:v>Maven Toys Monterrey 2</c:v>
                </c:pt>
                <c:pt idx="1">
                  <c:v>Maven Toys Toluca 1</c:v>
                </c:pt>
                <c:pt idx="2">
                  <c:v>Maven Toys Ciudad de Mexico 1</c:v>
                </c:pt>
                <c:pt idx="3">
                  <c:v>Maven Toys Guadalajara 3</c:v>
                </c:pt>
                <c:pt idx="4">
                  <c:v>Maven Toys Ciudad de Mexico 2</c:v>
                </c:pt>
              </c:strCache>
            </c:strRef>
          </c:cat>
          <c:val>
            <c:numRef>
              <c:f>Pivots!$D$23:$D$27</c:f>
              <c:numCache>
                <c:formatCode>General</c:formatCode>
                <c:ptCount val="5"/>
                <c:pt idx="0">
                  <c:v>372998.82</c:v>
                </c:pt>
                <c:pt idx="1">
                  <c:v>411157.32</c:v>
                </c:pt>
                <c:pt idx="2">
                  <c:v>433556.21</c:v>
                </c:pt>
                <c:pt idx="3">
                  <c:v>449354.91</c:v>
                </c:pt>
                <c:pt idx="4">
                  <c:v>554553.43000000005</c:v>
                </c:pt>
              </c:numCache>
            </c:numRef>
          </c:val>
          <c:extLst>
            <c:ext xmlns:c16="http://schemas.microsoft.com/office/drawing/2014/chart" uri="{C3380CC4-5D6E-409C-BE32-E72D297353CC}">
              <c16:uniqueId val="{00000000-BFA0-45C0-88AE-1E094E8DED89}"/>
            </c:ext>
          </c:extLst>
        </c:ser>
        <c:dLbls>
          <c:dLblPos val="outEnd"/>
          <c:showLegendKey val="0"/>
          <c:showVal val="1"/>
          <c:showCatName val="0"/>
          <c:showSerName val="0"/>
          <c:showPercent val="0"/>
          <c:showBubbleSize val="0"/>
        </c:dLbls>
        <c:gapWidth val="182"/>
        <c:axId val="1141219167"/>
        <c:axId val="1141228287"/>
      </c:barChart>
      <c:catAx>
        <c:axId val="114121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28287"/>
        <c:crosses val="autoZero"/>
        <c:auto val="1"/>
        <c:lblAlgn val="ctr"/>
        <c:lblOffset val="100"/>
        <c:noMultiLvlLbl val="0"/>
      </c:catAx>
      <c:valAx>
        <c:axId val="1141228287"/>
        <c:scaling>
          <c:orientation val="minMax"/>
        </c:scaling>
        <c:delete val="1"/>
        <c:axPos val="b"/>
        <c:numFmt formatCode="General" sourceLinked="1"/>
        <c:majorTickMark val="none"/>
        <c:minorTickMark val="none"/>
        <c:tickLblPos val="nextTo"/>
        <c:crossAx val="1141219167"/>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Analysis.xlsx]Pivots!profit by category</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6702974812966138E-2"/>
              <c:y val="7.896380495883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8.0174279102237456E-2"/>
              <c:y val="-3.5892638617652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6811899251864551E-2"/>
              <c:y val="5.02496940647141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4916403583858"/>
          <c:y val="0.23035895464809675"/>
          <c:w val="0.30471013368166705"/>
          <c:h val="0.65478460177541387"/>
        </c:manualLayout>
      </c:layout>
      <c:doughnutChart>
        <c:varyColors val="1"/>
        <c:ser>
          <c:idx val="0"/>
          <c:order val="0"/>
          <c:tx>
            <c:strRef>
              <c:f>Pivots!$B$43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8D3-4579-AA1F-FC8AD7C008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F8D3-4579-AA1F-FC8AD7C008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8D3-4579-AA1F-FC8AD7C008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30-4DC9-BD68-E696E25CAF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30-4DC9-BD68-E696E25CAF61}"/>
              </c:ext>
            </c:extLst>
          </c:dPt>
          <c:dLbls>
            <c:dLbl>
              <c:idx val="0"/>
              <c:layout>
                <c:manualLayout>
                  <c:x val="8.0174279102237456E-2"/>
                  <c:y val="-3.58926386176529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D3-4579-AA1F-FC8AD7C00853}"/>
                </c:ext>
              </c:extLst>
            </c:dLbl>
            <c:dLbl>
              <c:idx val="1"/>
              <c:layout>
                <c:manualLayout>
                  <c:x val="6.6811899251864551E-2"/>
                  <c:y val="5.0249694064714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D3-4579-AA1F-FC8AD7C00853}"/>
                </c:ext>
              </c:extLst>
            </c:dLbl>
            <c:dLbl>
              <c:idx val="2"/>
              <c:layout>
                <c:manualLayout>
                  <c:x val="-1.6702974812966138E-2"/>
                  <c:y val="7.896380495883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D3-4579-AA1F-FC8AD7C008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Pivots!$A$44:$A$49</c:f>
              <c:strCache>
                <c:ptCount val="5"/>
                <c:pt idx="0">
                  <c:v>Art &amp; Crafts</c:v>
                </c:pt>
                <c:pt idx="1">
                  <c:v>Electronics</c:v>
                </c:pt>
                <c:pt idx="2">
                  <c:v>Games</c:v>
                </c:pt>
                <c:pt idx="3">
                  <c:v>Sports &amp; Outdoors</c:v>
                </c:pt>
                <c:pt idx="4">
                  <c:v>Toys</c:v>
                </c:pt>
              </c:strCache>
            </c:strRef>
          </c:cat>
          <c:val>
            <c:numRef>
              <c:f>Pivots!$B$44:$B$49</c:f>
              <c:numCache>
                <c:formatCode>0.00%</c:formatCode>
                <c:ptCount val="5"/>
                <c:pt idx="0">
                  <c:v>0.18768025841367864</c:v>
                </c:pt>
                <c:pt idx="1">
                  <c:v>0.24948424637689465</c:v>
                </c:pt>
                <c:pt idx="2">
                  <c:v>0.16790934993244941</c:v>
                </c:pt>
                <c:pt idx="3">
                  <c:v>0.12598762988508552</c:v>
                </c:pt>
                <c:pt idx="4">
                  <c:v>0.26893851539189179</c:v>
                </c:pt>
              </c:numCache>
            </c:numRef>
          </c:val>
          <c:extLst>
            <c:ext xmlns:c16="http://schemas.microsoft.com/office/drawing/2014/chart" uri="{C3380CC4-5D6E-409C-BE32-E72D297353CC}">
              <c16:uniqueId val="{00000000-F8D3-4579-AA1F-FC8AD7C0085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0728965167853055"/>
          <c:y val="0.24772646983181329"/>
          <c:w val="0.27139922323465671"/>
          <c:h val="0.701032530584769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Analysis.xlsx]Pivots!rev by category</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layout>
            <c:manualLayout>
              <c:x val="6.4335634106193987E-2"/>
              <c:y val="-5.5505264532299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1491803201178964E-2"/>
              <c:y val="7.631973873191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4312338189970086E-2"/>
              <c:y val="9.0196054864987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s>
    <c:plotArea>
      <c:layout>
        <c:manualLayout>
          <c:layoutTarget val="inner"/>
          <c:xMode val="edge"/>
          <c:yMode val="edge"/>
          <c:x val="0.1338059610257768"/>
          <c:y val="0.27121259882095022"/>
          <c:w val="0.35187505445732808"/>
          <c:h val="0.56920976564868775"/>
        </c:manualLayout>
      </c:layout>
      <c:doughnutChart>
        <c:varyColors val="1"/>
        <c:ser>
          <c:idx val="0"/>
          <c:order val="0"/>
          <c:tx>
            <c:strRef>
              <c:f>Pivots!$B$33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081-4F06-9AA3-0D48FEBCAF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081-4F06-9AA3-0D48FEBCAF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81-4F06-9AA3-0D48FEBCAF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01-4EA4-8963-0AB88C4856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F01-4EA4-8963-0AB88C48563F}"/>
              </c:ext>
            </c:extLst>
          </c:dPt>
          <c:dLbls>
            <c:dLbl>
              <c:idx val="0"/>
              <c:layout>
                <c:manualLayout>
                  <c:x val="6.4335634106193987E-2"/>
                  <c:y val="-5.5505264532299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81-4F06-9AA3-0D48FEBCAF3D}"/>
                </c:ext>
              </c:extLst>
            </c:dLbl>
            <c:dLbl>
              <c:idx val="1"/>
              <c:layout>
                <c:manualLayout>
                  <c:x val="8.1491803201178964E-2"/>
                  <c:y val="7.631973873191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81-4F06-9AA3-0D48FEBCAF3D}"/>
                </c:ext>
              </c:extLst>
            </c:dLbl>
            <c:dLbl>
              <c:idx val="2"/>
              <c:layout>
                <c:manualLayout>
                  <c:x val="3.4312338189970086E-2"/>
                  <c:y val="9.0196054864987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81-4F06-9AA3-0D48FEBCAF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Pivots!$A$34:$A$39</c:f>
              <c:strCache>
                <c:ptCount val="5"/>
                <c:pt idx="0">
                  <c:v>Art &amp; Crafts</c:v>
                </c:pt>
                <c:pt idx="1">
                  <c:v>Electronics</c:v>
                </c:pt>
                <c:pt idx="2">
                  <c:v>Games</c:v>
                </c:pt>
                <c:pt idx="3">
                  <c:v>Sports &amp; Outdoors</c:v>
                </c:pt>
                <c:pt idx="4">
                  <c:v>Toys</c:v>
                </c:pt>
              </c:strCache>
            </c:strRef>
          </c:cat>
          <c:val>
            <c:numRef>
              <c:f>Pivots!$B$34:$B$39</c:f>
              <c:numCache>
                <c:formatCode>0.00%</c:formatCode>
                <c:ptCount val="5"/>
                <c:pt idx="0">
                  <c:v>0.18729279029157278</c:v>
                </c:pt>
                <c:pt idx="1">
                  <c:v>0.15554432457808282</c:v>
                </c:pt>
                <c:pt idx="2">
                  <c:v>0.15416422279888406</c:v>
                </c:pt>
                <c:pt idx="3">
                  <c:v>0.15039279234874683</c:v>
                </c:pt>
                <c:pt idx="4">
                  <c:v>0.35260586998271359</c:v>
                </c:pt>
              </c:numCache>
            </c:numRef>
          </c:val>
          <c:extLst>
            <c:ext xmlns:c16="http://schemas.microsoft.com/office/drawing/2014/chart" uri="{C3380CC4-5D6E-409C-BE32-E72D297353CC}">
              <c16:uniqueId val="{00000000-C081-4F06-9AA3-0D48FEBCAF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Analysis.xlsx]Pivots!units sold by location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Pivots!$A$53:$A$57</c:f>
              <c:strCache>
                <c:ptCount val="4"/>
                <c:pt idx="0">
                  <c:v>Downtown</c:v>
                </c:pt>
                <c:pt idx="1">
                  <c:v>Commercial</c:v>
                </c:pt>
                <c:pt idx="2">
                  <c:v>Residential</c:v>
                </c:pt>
                <c:pt idx="3">
                  <c:v>Airport</c:v>
                </c:pt>
              </c:strCache>
            </c:strRef>
          </c:cat>
          <c:val>
            <c:numRef>
              <c:f>Pivots!$B$53:$B$57</c:f>
              <c:numCache>
                <c:formatCode>General</c:formatCode>
                <c:ptCount val="4"/>
                <c:pt idx="0">
                  <c:v>624180</c:v>
                </c:pt>
                <c:pt idx="1">
                  <c:v>239103</c:v>
                </c:pt>
                <c:pt idx="2">
                  <c:v>125147</c:v>
                </c:pt>
                <c:pt idx="3">
                  <c:v>95461</c:v>
                </c:pt>
              </c:numCache>
            </c:numRef>
          </c:val>
          <c:extLst>
            <c:ext xmlns:c16="http://schemas.microsoft.com/office/drawing/2014/chart" uri="{C3380CC4-5D6E-409C-BE32-E72D297353CC}">
              <c16:uniqueId val="{00000000-1F18-48B6-AF1C-8C56E946FBDA}"/>
            </c:ext>
          </c:extLst>
        </c:ser>
        <c:dLbls>
          <c:showLegendKey val="0"/>
          <c:showVal val="0"/>
          <c:showCatName val="0"/>
          <c:showSerName val="0"/>
          <c:showPercent val="0"/>
          <c:showBubbleSize val="0"/>
        </c:dLbls>
        <c:gapWidth val="219"/>
        <c:overlap val="-27"/>
        <c:axId val="419067647"/>
        <c:axId val="419105567"/>
      </c:barChart>
      <c:catAx>
        <c:axId val="41906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05567"/>
        <c:crosses val="autoZero"/>
        <c:auto val="1"/>
        <c:lblAlgn val="ctr"/>
        <c:lblOffset val="100"/>
        <c:noMultiLvlLbl val="0"/>
      </c:catAx>
      <c:valAx>
        <c:axId val="419105567"/>
        <c:scaling>
          <c:orientation val="minMax"/>
        </c:scaling>
        <c:delete val="1"/>
        <c:axPos val="l"/>
        <c:numFmt formatCode="General" sourceLinked="1"/>
        <c:majorTickMark val="none"/>
        <c:minorTickMark val="none"/>
        <c:tickLblPos val="nextTo"/>
        <c:crossAx val="41906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Analysis.xlsx]Pivots!top 5 by rev</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Pivots!$B$62</c:f>
              <c:strCache>
                <c:ptCount val="1"/>
                <c:pt idx="0">
                  <c:v>Total</c:v>
                </c:pt>
              </c:strCache>
            </c:strRef>
          </c:tx>
          <c:spPr>
            <a:solidFill>
              <a:schemeClr val="accent1"/>
            </a:solidFill>
            <a:ln>
              <a:noFill/>
            </a:ln>
            <a:effectLst/>
          </c:spPr>
          <c:invertIfNegative val="0"/>
          <c:cat>
            <c:strRef>
              <c:f>Pivots!$A$63:$A$68</c:f>
              <c:strCache>
                <c:ptCount val="5"/>
                <c:pt idx="0">
                  <c:v>Rubik's Cube</c:v>
                </c:pt>
                <c:pt idx="1">
                  <c:v>Action Figure</c:v>
                </c:pt>
                <c:pt idx="2">
                  <c:v>Magic Sand</c:v>
                </c:pt>
                <c:pt idx="3">
                  <c:v>Colorbuds</c:v>
                </c:pt>
                <c:pt idx="4">
                  <c:v>Lego Bricks</c:v>
                </c:pt>
              </c:strCache>
            </c:strRef>
          </c:cat>
          <c:val>
            <c:numRef>
              <c:f>Pivots!$B$63:$B$68</c:f>
              <c:numCache>
                <c:formatCode>General</c:formatCode>
                <c:ptCount val="5"/>
                <c:pt idx="0">
                  <c:v>912983.28</c:v>
                </c:pt>
                <c:pt idx="1">
                  <c:v>926748.42</c:v>
                </c:pt>
                <c:pt idx="2">
                  <c:v>968962.02</c:v>
                </c:pt>
                <c:pt idx="3">
                  <c:v>1564476.32</c:v>
                </c:pt>
                <c:pt idx="4">
                  <c:v>2388882.63</c:v>
                </c:pt>
              </c:numCache>
            </c:numRef>
          </c:val>
          <c:extLst>
            <c:ext xmlns:c16="http://schemas.microsoft.com/office/drawing/2014/chart" uri="{C3380CC4-5D6E-409C-BE32-E72D297353CC}">
              <c16:uniqueId val="{00000000-6785-4E50-80AB-985DE816B4DC}"/>
            </c:ext>
          </c:extLst>
        </c:ser>
        <c:dLbls>
          <c:showLegendKey val="0"/>
          <c:showVal val="0"/>
          <c:showCatName val="0"/>
          <c:showSerName val="0"/>
          <c:showPercent val="0"/>
          <c:showBubbleSize val="0"/>
        </c:dLbls>
        <c:gapWidth val="182"/>
        <c:axId val="1155847775"/>
        <c:axId val="1155832895"/>
      </c:barChart>
      <c:catAx>
        <c:axId val="115584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32895"/>
        <c:crosses val="autoZero"/>
        <c:auto val="1"/>
        <c:lblAlgn val="ctr"/>
        <c:lblOffset val="100"/>
        <c:noMultiLvlLbl val="0"/>
      </c:catAx>
      <c:valAx>
        <c:axId val="1155832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4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Analysis.xlsx]Pivots!rev monthly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Pivots!$B$72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Pivots!$A$73:$A$85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Pivots!$B$73:$B$85</c:f>
              <c:numCache>
                <c:formatCode>"$"#,##0</c:formatCode>
                <c:ptCount val="12"/>
                <c:pt idx="0">
                  <c:v>1289751.1300000001</c:v>
                </c:pt>
                <c:pt idx="1">
                  <c:v>1263983.8400000003</c:v>
                </c:pt>
                <c:pt idx="2">
                  <c:v>1473000.83</c:v>
                </c:pt>
                <c:pt idx="3">
                  <c:v>1508764.0499999996</c:v>
                </c:pt>
                <c:pt idx="4">
                  <c:v>1497689.39</c:v>
                </c:pt>
                <c:pt idx="5">
                  <c:v>1470279.4700000004</c:v>
                </c:pt>
                <c:pt idx="6">
                  <c:v>1384383.09</c:v>
                </c:pt>
                <c:pt idx="7">
                  <c:v>1150299.8000000003</c:v>
                </c:pt>
                <c:pt idx="8">
                  <c:v>1244038.5200000003</c:v>
                </c:pt>
                <c:pt idx="9">
                  <c:v>623874.39000000013</c:v>
                </c:pt>
                <c:pt idx="10">
                  <c:v>661304.15</c:v>
                </c:pt>
                <c:pt idx="11">
                  <c:v>877203.68999999983</c:v>
                </c:pt>
              </c:numCache>
            </c:numRef>
          </c:val>
          <c:smooth val="0"/>
          <c:extLst>
            <c:ext xmlns:c16="http://schemas.microsoft.com/office/drawing/2014/chart" uri="{C3380CC4-5D6E-409C-BE32-E72D297353CC}">
              <c16:uniqueId val="{00000000-0207-4620-9AD1-6D36828E46B2}"/>
            </c:ext>
          </c:extLst>
        </c:ser>
        <c:dLbls>
          <c:showLegendKey val="0"/>
          <c:showVal val="0"/>
          <c:showCatName val="0"/>
          <c:showSerName val="0"/>
          <c:showPercent val="0"/>
          <c:showBubbleSize val="0"/>
        </c:dLbls>
        <c:marker val="1"/>
        <c:smooth val="0"/>
        <c:axId val="1155851615"/>
        <c:axId val="1155848255"/>
      </c:lineChart>
      <c:catAx>
        <c:axId val="115585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48255"/>
        <c:crosses val="autoZero"/>
        <c:auto val="1"/>
        <c:lblAlgn val="ctr"/>
        <c:lblOffset val="100"/>
        <c:noMultiLvlLbl val="0"/>
      </c:catAx>
      <c:valAx>
        <c:axId val="1155848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516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Analysis.xlsx]Pivots!rev day of week</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Weekday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Pivots!$B$88</c:f>
              <c:strCache>
                <c:ptCount val="1"/>
                <c:pt idx="0">
                  <c:v>Total</c:v>
                </c:pt>
              </c:strCache>
            </c:strRef>
          </c:tx>
          <c:spPr>
            <a:solidFill>
              <a:schemeClr val="accent1"/>
            </a:solidFill>
            <a:ln>
              <a:noFill/>
            </a:ln>
            <a:effectLst/>
          </c:spPr>
          <c:invertIfNegative val="0"/>
          <c:cat>
            <c:strRef>
              <c:f>Pivots!$A$89:$A$96</c:f>
              <c:strCache>
                <c:ptCount val="7"/>
                <c:pt idx="0">
                  <c:v>Sun</c:v>
                </c:pt>
                <c:pt idx="1">
                  <c:v>Mon</c:v>
                </c:pt>
                <c:pt idx="2">
                  <c:v>Tue</c:v>
                </c:pt>
                <c:pt idx="3">
                  <c:v>Wed</c:v>
                </c:pt>
                <c:pt idx="4">
                  <c:v>Thu</c:v>
                </c:pt>
                <c:pt idx="5">
                  <c:v>Fri</c:v>
                </c:pt>
                <c:pt idx="6">
                  <c:v>Sat</c:v>
                </c:pt>
              </c:strCache>
            </c:strRef>
          </c:cat>
          <c:val>
            <c:numRef>
              <c:f>Pivots!$B$89:$B$96</c:f>
              <c:numCache>
                <c:formatCode>"$"#,##0</c:formatCode>
                <c:ptCount val="7"/>
                <c:pt idx="0">
                  <c:v>1749744</c:v>
                </c:pt>
                <c:pt idx="1">
                  <c:v>1531130.01</c:v>
                </c:pt>
                <c:pt idx="2">
                  <c:v>1637492.19</c:v>
                </c:pt>
                <c:pt idx="3">
                  <c:v>1732068.5899999999</c:v>
                </c:pt>
                <c:pt idx="4">
                  <c:v>2183641.79</c:v>
                </c:pt>
                <c:pt idx="5">
                  <c:v>2750302.26</c:v>
                </c:pt>
                <c:pt idx="6">
                  <c:v>2860193.51</c:v>
                </c:pt>
              </c:numCache>
            </c:numRef>
          </c:val>
          <c:extLst>
            <c:ext xmlns:c16="http://schemas.microsoft.com/office/drawing/2014/chart" uri="{C3380CC4-5D6E-409C-BE32-E72D297353CC}">
              <c16:uniqueId val="{00000000-990E-4B1B-A5B8-815B0B31D9BA}"/>
            </c:ext>
          </c:extLst>
        </c:ser>
        <c:dLbls>
          <c:showLegendKey val="0"/>
          <c:showVal val="0"/>
          <c:showCatName val="0"/>
          <c:showSerName val="0"/>
          <c:showPercent val="0"/>
          <c:showBubbleSize val="0"/>
        </c:dLbls>
        <c:gapWidth val="150"/>
        <c:overlap val="100"/>
        <c:axId val="1385585311"/>
        <c:axId val="1385597311"/>
      </c:barChart>
      <c:catAx>
        <c:axId val="13855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597311"/>
        <c:crosses val="autoZero"/>
        <c:auto val="1"/>
        <c:lblAlgn val="ctr"/>
        <c:lblOffset val="100"/>
        <c:noMultiLvlLbl val="0"/>
      </c:catAx>
      <c:valAx>
        <c:axId val="1385597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5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Analysis.xlsx]Pivots!rev by location</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Store Location</a:t>
            </a:r>
            <a:endParaRPr lang="en-US" b="1"/>
          </a:p>
        </c:rich>
      </c:tx>
      <c:layout>
        <c:manualLayout>
          <c:xMode val="edge"/>
          <c:yMode val="edge"/>
          <c:x val="0.23883607871107643"/>
          <c:y val="4.84848716224631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
        <c:idx val="2"/>
        <c:spPr>
          <a:solidFill>
            <a:schemeClr val="tx2">
              <a:lumMod val="50000"/>
              <a:lumOff val="5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pivotFmt>
      <c:pivotFmt>
        <c:idx val="5"/>
        <c:spPr>
          <a:solidFill>
            <a:schemeClr val="tx2">
              <a:lumMod val="75000"/>
              <a:lumOff val="25000"/>
            </a:schemeClr>
          </a:solidFill>
          <a:ln>
            <a:noFill/>
          </a:ln>
          <a:effectLst/>
        </c:spPr>
      </c:pivotFmt>
      <c:pivotFmt>
        <c:idx val="6"/>
        <c:spPr>
          <a:solidFill>
            <a:schemeClr val="accent1"/>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3175">
            <a:noFill/>
          </a:ln>
          <a:effectLst/>
        </c:spPr>
      </c:pivotFmt>
      <c:pivotFmt>
        <c:idx val="8"/>
        <c:spPr>
          <a:solidFill>
            <a:schemeClr val="tx2">
              <a:lumMod val="75000"/>
              <a:lumOff val="25000"/>
            </a:schemeClr>
          </a:solidFill>
          <a:ln w="3175">
            <a:noFill/>
          </a:ln>
          <a:effectLst/>
        </c:spPr>
      </c:pivotFmt>
    </c:pivotFmts>
    <c:plotArea>
      <c:layout/>
      <c:barChart>
        <c:barDir val="bar"/>
        <c:grouping val="clustered"/>
        <c:varyColors val="0"/>
        <c:ser>
          <c:idx val="0"/>
          <c:order val="0"/>
          <c:tx>
            <c:strRef>
              <c:f>Pivots!$B$10</c:f>
              <c:strCache>
                <c:ptCount val="1"/>
                <c:pt idx="0">
                  <c:v>Total</c:v>
                </c:pt>
              </c:strCache>
            </c:strRef>
          </c:tx>
          <c:spPr>
            <a:solidFill>
              <a:schemeClr val="accent1"/>
            </a:solidFill>
            <a:ln w="3175">
              <a:noFill/>
            </a:ln>
            <a:effectLst/>
          </c:spPr>
          <c:invertIfNegative val="0"/>
          <c:dPt>
            <c:idx val="0"/>
            <c:invertIfNegative val="0"/>
            <c:bubble3D val="0"/>
            <c:spPr>
              <a:solidFill>
                <a:schemeClr val="tx2">
                  <a:lumMod val="50000"/>
                  <a:lumOff val="50000"/>
                </a:schemeClr>
              </a:solidFill>
              <a:ln w="3175">
                <a:noFill/>
              </a:ln>
              <a:effectLst/>
            </c:spPr>
            <c:extLst>
              <c:ext xmlns:c16="http://schemas.microsoft.com/office/drawing/2014/chart" uri="{C3380CC4-5D6E-409C-BE32-E72D297353CC}">
                <c16:uniqueId val="{00000001-2B4A-453E-8FFB-6E46F01A3396}"/>
              </c:ext>
            </c:extLst>
          </c:dPt>
          <c:dPt>
            <c:idx val="1"/>
            <c:invertIfNegative val="0"/>
            <c:bubble3D val="0"/>
            <c:spPr>
              <a:solidFill>
                <a:schemeClr val="tx2">
                  <a:lumMod val="75000"/>
                  <a:lumOff val="25000"/>
                </a:schemeClr>
              </a:solidFill>
              <a:ln w="3175">
                <a:noFill/>
              </a:ln>
              <a:effectLst/>
            </c:spPr>
            <c:extLst>
              <c:ext xmlns:c16="http://schemas.microsoft.com/office/drawing/2014/chart" uri="{C3380CC4-5D6E-409C-BE32-E72D297353CC}">
                <c16:uniqueId val="{00000003-2B4A-453E-8FFB-6E46F01A3396}"/>
              </c:ext>
            </c:extLst>
          </c:dPt>
          <c:cat>
            <c:strRef>
              <c:f>Pivots!$A$11:$A$15</c:f>
              <c:strCache>
                <c:ptCount val="4"/>
                <c:pt idx="0">
                  <c:v>Airport</c:v>
                </c:pt>
                <c:pt idx="1">
                  <c:v>Residential</c:v>
                </c:pt>
                <c:pt idx="2">
                  <c:v>Commercial</c:v>
                </c:pt>
                <c:pt idx="3">
                  <c:v>Downtown</c:v>
                </c:pt>
              </c:strCache>
            </c:strRef>
          </c:cat>
          <c:val>
            <c:numRef>
              <c:f>Pivots!$B$11:$B$15</c:f>
              <c:numCache>
                <c:formatCode>General</c:formatCode>
                <c:ptCount val="4"/>
                <c:pt idx="0">
                  <c:v>1289722.58</c:v>
                </c:pt>
                <c:pt idx="1">
                  <c:v>1656113.9800000002</c:v>
                </c:pt>
                <c:pt idx="2">
                  <c:v>3279139.5199999996</c:v>
                </c:pt>
                <c:pt idx="3">
                  <c:v>8219596.2700000014</c:v>
                </c:pt>
              </c:numCache>
            </c:numRef>
          </c:val>
          <c:extLst>
            <c:ext xmlns:c16="http://schemas.microsoft.com/office/drawing/2014/chart" uri="{C3380CC4-5D6E-409C-BE32-E72D297353CC}">
              <c16:uniqueId val="{00000004-2B4A-453E-8FFB-6E46F01A3396}"/>
            </c:ext>
          </c:extLst>
        </c:ser>
        <c:dLbls>
          <c:showLegendKey val="0"/>
          <c:showVal val="0"/>
          <c:showCatName val="0"/>
          <c:showSerName val="0"/>
          <c:showPercent val="0"/>
          <c:showBubbleSize val="0"/>
        </c:dLbls>
        <c:gapWidth val="70"/>
        <c:overlap val="10"/>
        <c:axId val="1791588511"/>
        <c:axId val="1791582271"/>
      </c:barChart>
      <c:catAx>
        <c:axId val="179158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ADLaM Display" panose="02010000000000000000" pitchFamily="2" charset="0"/>
                <a:cs typeface="Segoe UI" panose="020B0502040204020203" pitchFamily="34" charset="0"/>
              </a:defRPr>
            </a:pPr>
            <a:endParaRPr lang="en-US"/>
          </a:p>
        </c:txPr>
        <c:crossAx val="1791582271"/>
        <c:crosses val="autoZero"/>
        <c:auto val="1"/>
        <c:lblAlgn val="ctr"/>
        <c:lblOffset val="100"/>
        <c:noMultiLvlLbl val="0"/>
      </c:catAx>
      <c:valAx>
        <c:axId val="17915822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158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a:t>
            </a:r>
            <a:r>
              <a:rPr lang="en-US" b="1" baseline="0"/>
              <a:t> Stores by Revenue</a:t>
            </a:r>
            <a:endParaRPr lang="en-US" b="1"/>
          </a:p>
        </c:rich>
      </c:tx>
      <c:layout>
        <c:manualLayout>
          <c:xMode val="edge"/>
          <c:yMode val="edge"/>
          <c:x val="0.30549172845667155"/>
          <c:y val="3.52331491222229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511089238845145"/>
          <c:y val="0.17171296296296296"/>
          <c:w val="0.48933355205599299"/>
          <c:h val="0.77736111111111106"/>
        </c:manualLayout>
      </c:layout>
      <c:barChart>
        <c:barDir val="bar"/>
        <c:grouping val="clustered"/>
        <c:varyColors val="0"/>
        <c:ser>
          <c:idx val="0"/>
          <c:order val="0"/>
          <c:spPr>
            <a:solidFill>
              <a:schemeClr val="accent1"/>
            </a:solidFill>
            <a:ln w="0">
              <a:noFill/>
            </a:ln>
            <a:effectLst/>
          </c:spPr>
          <c:invertIfNegative val="0"/>
          <c:dPt>
            <c:idx val="0"/>
            <c:invertIfNegative val="0"/>
            <c:bubble3D val="0"/>
            <c:spPr>
              <a:solidFill>
                <a:schemeClr val="tx2">
                  <a:lumMod val="25000"/>
                  <a:lumOff val="75000"/>
                </a:schemeClr>
              </a:solidFill>
              <a:ln w="0">
                <a:noFill/>
              </a:ln>
              <a:effectLst/>
            </c:spPr>
            <c:extLst>
              <c:ext xmlns:c16="http://schemas.microsoft.com/office/drawing/2014/chart" uri="{C3380CC4-5D6E-409C-BE32-E72D297353CC}">
                <c16:uniqueId val="{00000003-590B-4885-B81A-0E04D9FEFAA0}"/>
              </c:ext>
            </c:extLst>
          </c:dPt>
          <c:dPt>
            <c:idx val="1"/>
            <c:invertIfNegative val="0"/>
            <c:bubble3D val="0"/>
            <c:spPr>
              <a:solidFill>
                <a:schemeClr val="tx2">
                  <a:lumMod val="50000"/>
                  <a:lumOff val="50000"/>
                </a:schemeClr>
              </a:solidFill>
              <a:ln w="0">
                <a:noFill/>
              </a:ln>
              <a:effectLst/>
            </c:spPr>
            <c:extLst>
              <c:ext xmlns:c16="http://schemas.microsoft.com/office/drawing/2014/chart" uri="{C3380CC4-5D6E-409C-BE32-E72D297353CC}">
                <c16:uniqueId val="{00000002-590B-4885-B81A-0E04D9FEFAA0}"/>
              </c:ext>
            </c:extLst>
          </c:dPt>
          <c:dPt>
            <c:idx val="2"/>
            <c:invertIfNegative val="0"/>
            <c:bubble3D val="0"/>
            <c:spPr>
              <a:solidFill>
                <a:schemeClr val="tx2">
                  <a:lumMod val="75000"/>
                  <a:lumOff val="25000"/>
                </a:schemeClr>
              </a:solidFill>
              <a:ln w="0">
                <a:noFill/>
              </a:ln>
              <a:effectLst/>
            </c:spPr>
            <c:extLst>
              <c:ext xmlns:c16="http://schemas.microsoft.com/office/drawing/2014/chart" uri="{C3380CC4-5D6E-409C-BE32-E72D297353CC}">
                <c16:uniqueId val="{00000001-590B-4885-B81A-0E04D9FEFAA0}"/>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Pivots!$C$23:$C$27</c:f>
              <c:strCache>
                <c:ptCount val="5"/>
                <c:pt idx="0">
                  <c:v>Maven Toys Monterrey 2</c:v>
                </c:pt>
                <c:pt idx="1">
                  <c:v>Maven Toys Toluca 1</c:v>
                </c:pt>
                <c:pt idx="2">
                  <c:v>Maven Toys Ciudad de Mexico 1</c:v>
                </c:pt>
                <c:pt idx="3">
                  <c:v>Maven Toys Guadalajara 3</c:v>
                </c:pt>
                <c:pt idx="4">
                  <c:v>Maven Toys Ciudad de Mexico 2</c:v>
                </c:pt>
              </c:strCache>
            </c:strRef>
          </c:cat>
          <c:val>
            <c:numRef>
              <c:f>Pivots!$D$23:$D$27</c:f>
              <c:numCache>
                <c:formatCode>General</c:formatCode>
                <c:ptCount val="5"/>
                <c:pt idx="0">
                  <c:v>372998.82</c:v>
                </c:pt>
                <c:pt idx="1">
                  <c:v>411157.32</c:v>
                </c:pt>
                <c:pt idx="2">
                  <c:v>433556.21</c:v>
                </c:pt>
                <c:pt idx="3">
                  <c:v>449354.91</c:v>
                </c:pt>
                <c:pt idx="4">
                  <c:v>554553.43000000005</c:v>
                </c:pt>
              </c:numCache>
            </c:numRef>
          </c:val>
          <c:extLst>
            <c:ext xmlns:c16="http://schemas.microsoft.com/office/drawing/2014/chart" uri="{C3380CC4-5D6E-409C-BE32-E72D297353CC}">
              <c16:uniqueId val="{00000000-590B-4885-B81A-0E04D9FEFAA0}"/>
            </c:ext>
          </c:extLst>
        </c:ser>
        <c:dLbls>
          <c:dLblPos val="outEnd"/>
          <c:showLegendKey val="0"/>
          <c:showVal val="1"/>
          <c:showCatName val="0"/>
          <c:showSerName val="0"/>
          <c:showPercent val="0"/>
          <c:showBubbleSize val="0"/>
        </c:dLbls>
        <c:gapWidth val="70"/>
        <c:axId val="1141219167"/>
        <c:axId val="1141228287"/>
      </c:barChart>
      <c:catAx>
        <c:axId val="114121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41228287"/>
        <c:crosses val="autoZero"/>
        <c:auto val="1"/>
        <c:lblAlgn val="ctr"/>
        <c:lblOffset val="100"/>
        <c:noMultiLvlLbl val="0"/>
      </c:catAx>
      <c:valAx>
        <c:axId val="1141228287"/>
        <c:scaling>
          <c:orientation val="minMax"/>
        </c:scaling>
        <c:delete val="1"/>
        <c:axPos val="b"/>
        <c:numFmt formatCode="General" sourceLinked="1"/>
        <c:majorTickMark val="none"/>
        <c:minorTickMark val="none"/>
        <c:tickLblPos val="nextTo"/>
        <c:crossAx val="1141219167"/>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Analysis.xlsx]Pivots!rev by category</c:name>
    <c:fmtId val="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Revenue Share by Category</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7.291371865368651E-2"/>
              <c:y val="-8.325789679844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4335634106193987E-2"/>
              <c:y val="-5.5505264532299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1491803201178964E-2"/>
              <c:y val="7.631973873191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3.4312338189970086E-2"/>
              <c:y val="9.0196054864987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4.717946501120894E-2"/>
              <c:y val="9.0196054864987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4335634106193987E-2"/>
              <c:y val="-5.5505264532299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1491803201178964E-2"/>
              <c:y val="7.631973873191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4312338189970086E-2"/>
              <c:y val="9.0196054864987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717946501120894E-2"/>
              <c:y val="9.0196054864987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291371865368651E-2"/>
              <c:y val="-8.325789679844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4335634106193987E-2"/>
              <c:y val="-5.5505264532299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1491803201178964E-2"/>
              <c:y val="7.631973873191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4312338189970086E-2"/>
              <c:y val="9.0196054864987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4.717946501120894E-2"/>
              <c:y val="9.0196054864987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7.291371865368651E-2"/>
              <c:y val="-8.325789679844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31750">
            <a:solidFill>
              <a:schemeClr val="lt1"/>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1750">
            <a:solidFill>
              <a:schemeClr val="lt1"/>
            </a:solidFill>
          </a:ln>
          <a:effectLst/>
        </c:spPr>
        <c:dLbl>
          <c:idx val="0"/>
          <c:layout>
            <c:manualLayout>
              <c:x val="7.2638455860769099E-2"/>
              <c:y val="-6.66728221227090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31750">
            <a:solidFill>
              <a:schemeClr val="lt1"/>
            </a:solidFill>
          </a:ln>
          <a:effectLst/>
        </c:spPr>
        <c:dLbl>
          <c:idx val="0"/>
          <c:layout>
            <c:manualLayout>
              <c:x val="0.10060915833638462"/>
              <c:y val="7.631967660046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w="31750">
            <a:solidFill>
              <a:schemeClr val="lt1"/>
            </a:solidFill>
          </a:ln>
          <a:effectLst/>
        </c:spPr>
        <c:dLbl>
          <c:idx val="0"/>
          <c:layout>
            <c:manualLayout>
              <c:x val="3.4312338189970086E-2"/>
              <c:y val="9.01960548649871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w="31750">
            <a:solidFill>
              <a:schemeClr val="lt1"/>
            </a:solidFill>
          </a:ln>
          <a:effectLst/>
        </c:spPr>
        <c:dLbl>
          <c:idx val="0"/>
          <c:layout>
            <c:manualLayout>
              <c:x val="-5.6738242551668573E-2"/>
              <c:y val="6.89106718272342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w="31750">
            <a:solidFill>
              <a:schemeClr val="lt1"/>
            </a:solidFill>
          </a:ln>
          <a:effectLst/>
        </c:spPr>
        <c:dLbl>
          <c:idx val="0"/>
          <c:layout>
            <c:manualLayout>
              <c:x val="-7.291371865368651E-2"/>
              <c:y val="-8.325789679844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8582763423742"/>
          <c:y val="0.26033182304822577"/>
          <c:w val="0.39951967928933196"/>
          <c:h val="0.53737702827772538"/>
        </c:manualLayout>
      </c:layout>
      <c:doughnutChart>
        <c:varyColors val="1"/>
        <c:ser>
          <c:idx val="0"/>
          <c:order val="0"/>
          <c:tx>
            <c:strRef>
              <c:f>Pivots!$B$33</c:f>
              <c:strCache>
                <c:ptCount val="1"/>
                <c:pt idx="0">
                  <c:v>Total</c:v>
                </c:pt>
              </c:strCache>
            </c:strRef>
          </c:tx>
          <c:spPr>
            <a:ln w="31750">
              <a:solidFill>
                <a:schemeClr val="lt1"/>
              </a:solidFill>
            </a:ln>
          </c:spPr>
          <c:dPt>
            <c:idx val="0"/>
            <c:bubble3D val="0"/>
            <c:spPr>
              <a:solidFill>
                <a:schemeClr val="accent1"/>
              </a:solidFill>
              <a:ln w="31750">
                <a:solidFill>
                  <a:schemeClr val="lt1"/>
                </a:solidFill>
              </a:ln>
              <a:effectLst/>
            </c:spPr>
            <c:extLst>
              <c:ext xmlns:c16="http://schemas.microsoft.com/office/drawing/2014/chart" uri="{C3380CC4-5D6E-409C-BE32-E72D297353CC}">
                <c16:uniqueId val="{0000000D-EF71-48F6-8789-3BA144F4341A}"/>
              </c:ext>
            </c:extLst>
          </c:dPt>
          <c:dPt>
            <c:idx val="1"/>
            <c:bubble3D val="0"/>
            <c:spPr>
              <a:solidFill>
                <a:schemeClr val="accent2"/>
              </a:solidFill>
              <a:ln w="31750">
                <a:solidFill>
                  <a:schemeClr val="lt1"/>
                </a:solidFill>
              </a:ln>
              <a:effectLst/>
            </c:spPr>
            <c:extLst>
              <c:ext xmlns:c16="http://schemas.microsoft.com/office/drawing/2014/chart" uri="{C3380CC4-5D6E-409C-BE32-E72D297353CC}">
                <c16:uniqueId val="{0000000F-EF71-48F6-8789-3BA144F4341A}"/>
              </c:ext>
            </c:extLst>
          </c:dPt>
          <c:dPt>
            <c:idx val="2"/>
            <c:bubble3D val="0"/>
            <c:spPr>
              <a:solidFill>
                <a:schemeClr val="accent3"/>
              </a:solidFill>
              <a:ln w="31750">
                <a:solidFill>
                  <a:schemeClr val="lt1"/>
                </a:solidFill>
              </a:ln>
              <a:effectLst/>
            </c:spPr>
            <c:extLst>
              <c:ext xmlns:c16="http://schemas.microsoft.com/office/drawing/2014/chart" uri="{C3380CC4-5D6E-409C-BE32-E72D297353CC}">
                <c16:uniqueId val="{00000011-EF71-48F6-8789-3BA144F4341A}"/>
              </c:ext>
            </c:extLst>
          </c:dPt>
          <c:dPt>
            <c:idx val="3"/>
            <c:bubble3D val="0"/>
            <c:spPr>
              <a:solidFill>
                <a:schemeClr val="accent4"/>
              </a:solidFill>
              <a:ln w="31750">
                <a:solidFill>
                  <a:schemeClr val="lt1"/>
                </a:solidFill>
              </a:ln>
              <a:effectLst/>
            </c:spPr>
            <c:extLst>
              <c:ext xmlns:c16="http://schemas.microsoft.com/office/drawing/2014/chart" uri="{C3380CC4-5D6E-409C-BE32-E72D297353CC}">
                <c16:uniqueId val="{00000013-EF71-48F6-8789-3BA144F4341A}"/>
              </c:ext>
            </c:extLst>
          </c:dPt>
          <c:dPt>
            <c:idx val="4"/>
            <c:bubble3D val="0"/>
            <c:spPr>
              <a:solidFill>
                <a:schemeClr val="accent5"/>
              </a:solidFill>
              <a:ln w="31750">
                <a:solidFill>
                  <a:schemeClr val="lt1"/>
                </a:solidFill>
              </a:ln>
              <a:effectLst/>
            </c:spPr>
            <c:extLst>
              <c:ext xmlns:c16="http://schemas.microsoft.com/office/drawing/2014/chart" uri="{C3380CC4-5D6E-409C-BE32-E72D297353CC}">
                <c16:uniqueId val="{00000015-EF71-48F6-8789-3BA144F4341A}"/>
              </c:ext>
            </c:extLst>
          </c:dPt>
          <c:dLbls>
            <c:dLbl>
              <c:idx val="0"/>
              <c:layout>
                <c:manualLayout>
                  <c:x val="7.2638455860769099E-2"/>
                  <c:y val="-6.6672822122709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F71-48F6-8789-3BA144F4341A}"/>
                </c:ext>
              </c:extLst>
            </c:dLbl>
            <c:dLbl>
              <c:idx val="1"/>
              <c:layout>
                <c:manualLayout>
                  <c:x val="0.10060915833638462"/>
                  <c:y val="7.6319676600461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F71-48F6-8789-3BA144F4341A}"/>
                </c:ext>
              </c:extLst>
            </c:dLbl>
            <c:dLbl>
              <c:idx val="2"/>
              <c:layout>
                <c:manualLayout>
                  <c:x val="3.4312338189970086E-2"/>
                  <c:y val="9.0196054864987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F71-48F6-8789-3BA144F4341A}"/>
                </c:ext>
              </c:extLst>
            </c:dLbl>
            <c:dLbl>
              <c:idx val="3"/>
              <c:layout>
                <c:manualLayout>
                  <c:x val="-5.6738242551668573E-2"/>
                  <c:y val="6.89106718272342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F71-48F6-8789-3BA144F4341A}"/>
                </c:ext>
              </c:extLst>
            </c:dLbl>
            <c:dLbl>
              <c:idx val="4"/>
              <c:layout>
                <c:manualLayout>
                  <c:x val="-7.291371865368651E-2"/>
                  <c:y val="-8.325789679844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F71-48F6-8789-3BA144F434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Pivots!$A$34:$A$39</c:f>
              <c:strCache>
                <c:ptCount val="5"/>
                <c:pt idx="0">
                  <c:v>Art &amp; Crafts</c:v>
                </c:pt>
                <c:pt idx="1">
                  <c:v>Electronics</c:v>
                </c:pt>
                <c:pt idx="2">
                  <c:v>Games</c:v>
                </c:pt>
                <c:pt idx="3">
                  <c:v>Sports &amp; Outdoors</c:v>
                </c:pt>
                <c:pt idx="4">
                  <c:v>Toys</c:v>
                </c:pt>
              </c:strCache>
            </c:strRef>
          </c:cat>
          <c:val>
            <c:numRef>
              <c:f>Pivots!$B$34:$B$39</c:f>
              <c:numCache>
                <c:formatCode>0.00%</c:formatCode>
                <c:ptCount val="5"/>
                <c:pt idx="0">
                  <c:v>0.18729279029157278</c:v>
                </c:pt>
                <c:pt idx="1">
                  <c:v>0.15554432457808282</c:v>
                </c:pt>
                <c:pt idx="2">
                  <c:v>0.15416422279888406</c:v>
                </c:pt>
                <c:pt idx="3">
                  <c:v>0.15039279234874683</c:v>
                </c:pt>
                <c:pt idx="4">
                  <c:v>0.35260586998271359</c:v>
                </c:pt>
              </c:numCache>
            </c:numRef>
          </c:val>
          <c:extLst>
            <c:ext xmlns:c16="http://schemas.microsoft.com/office/drawing/2014/chart" uri="{C3380CC4-5D6E-409C-BE32-E72D297353CC}">
              <c16:uniqueId val="{00000016-EF71-48F6-8789-3BA144F4341A}"/>
            </c:ext>
          </c:extLst>
        </c:ser>
        <c:dLbls>
          <c:showLegendKey val="0"/>
          <c:showVal val="1"/>
          <c:showCatName val="0"/>
          <c:showSerName val="0"/>
          <c:showPercent val="0"/>
          <c:showBubbleSize val="0"/>
          <c:showLeaderLines val="1"/>
        </c:dLbls>
        <c:firstSliceAng val="0"/>
        <c:holeSize val="64"/>
      </c:doughnutChart>
    </c:plotArea>
    <c:legend>
      <c:legendPos val="r"/>
      <c:layout>
        <c:manualLayout>
          <c:xMode val="edge"/>
          <c:yMode val="edge"/>
          <c:x val="0.62204184515478833"/>
          <c:y val="0.21035383556501064"/>
          <c:w val="0.37631850397004751"/>
          <c:h val="0.77545609346228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Analysis.xlsx]Pivots!profit by category</c:name>
    <c:fmtId val="9"/>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Profit Share by Category</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1.6702974812966138E-2"/>
              <c:y val="7.896380495883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5.3449519401491639E-2"/>
              <c:y val="6.460674951177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8.017427910223745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0174279102237456E-2"/>
              <c:y val="-3.5892638617652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6.6811899251864551E-2"/>
              <c:y val="5.02496940647141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0174279102237456E-2"/>
              <c:y val="-3.5892638617652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6811899251864551E-2"/>
              <c:y val="5.02496940647141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6702974812966138E-2"/>
              <c:y val="7.896380495883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3449519401491639E-2"/>
              <c:y val="6.460674951177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017427910223745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1750"/>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1750">
            <a:solidFill>
              <a:schemeClr val="lt1"/>
            </a:solidFill>
          </a:ln>
          <a:effectLst/>
        </c:spPr>
        <c:dLbl>
          <c:idx val="0"/>
          <c:layout>
            <c:manualLayout>
              <c:x val="5.4331720482437652E-2"/>
              <c:y val="-8.05559011303446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31750">
            <a:solidFill>
              <a:schemeClr val="lt1"/>
            </a:solidFill>
          </a:ln>
          <a:effectLst/>
        </c:spPr>
        <c:dLbl>
          <c:idx val="0"/>
          <c:layout>
            <c:manualLayout>
              <c:x val="9.0959196910781678E-2"/>
              <c:y val="3.67463495710955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w="31750">
            <a:solidFill>
              <a:schemeClr val="lt1"/>
            </a:solidFill>
          </a:ln>
          <a:effectLst/>
        </c:spPr>
        <c:dLbl>
          <c:idx val="0"/>
          <c:layout>
            <c:manualLayout>
              <c:x val="2.2060910754867803E-2"/>
              <c:y val="9.012951947715661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chemeClr val="accent1"/>
          </a:solidFill>
          <a:ln w="31750">
            <a:solidFill>
              <a:schemeClr val="lt1"/>
            </a:solidFill>
          </a:ln>
          <a:effectLst/>
        </c:spPr>
        <c:dLbl>
          <c:idx val="0"/>
          <c:layout>
            <c:manualLayout>
              <c:x val="-0.10518084854921229"/>
              <c:y val="8.69382132140506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1750">
            <a:solidFill>
              <a:schemeClr val="lt1"/>
            </a:solidFill>
          </a:ln>
          <a:effectLst/>
        </c:spPr>
        <c:dLbl>
          <c:idx val="0"/>
          <c:layout>
            <c:manualLayout>
              <c:x val="-9.3095761425132997E-2"/>
              <c:y val="-3.90804789710536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0638982652498"/>
          <c:y val="0.26685812731092456"/>
          <c:w val="0.41669512641384465"/>
          <c:h val="0.54012431021196217"/>
        </c:manualLayout>
      </c:layout>
      <c:doughnutChart>
        <c:varyColors val="1"/>
        <c:ser>
          <c:idx val="0"/>
          <c:order val="0"/>
          <c:tx>
            <c:strRef>
              <c:f>Pivots!$B$43</c:f>
              <c:strCache>
                <c:ptCount val="1"/>
                <c:pt idx="0">
                  <c:v>Total</c:v>
                </c:pt>
              </c:strCache>
            </c:strRef>
          </c:tx>
          <c:spPr>
            <a:ln w="31750"/>
          </c:spPr>
          <c:dPt>
            <c:idx val="0"/>
            <c:bubble3D val="0"/>
            <c:spPr>
              <a:solidFill>
                <a:schemeClr val="accent1"/>
              </a:solidFill>
              <a:ln w="31750">
                <a:solidFill>
                  <a:schemeClr val="lt1"/>
                </a:solidFill>
              </a:ln>
              <a:effectLst/>
            </c:spPr>
            <c:extLst>
              <c:ext xmlns:c16="http://schemas.microsoft.com/office/drawing/2014/chart" uri="{C3380CC4-5D6E-409C-BE32-E72D297353CC}">
                <c16:uniqueId val="{00000001-DD0E-4620-BCAB-6C5EE5A8952C}"/>
              </c:ext>
            </c:extLst>
          </c:dPt>
          <c:dPt>
            <c:idx val="1"/>
            <c:bubble3D val="0"/>
            <c:spPr>
              <a:solidFill>
                <a:schemeClr val="accent2"/>
              </a:solidFill>
              <a:ln w="31750">
                <a:solidFill>
                  <a:schemeClr val="lt1"/>
                </a:solidFill>
              </a:ln>
              <a:effectLst/>
            </c:spPr>
            <c:extLst>
              <c:ext xmlns:c16="http://schemas.microsoft.com/office/drawing/2014/chart" uri="{C3380CC4-5D6E-409C-BE32-E72D297353CC}">
                <c16:uniqueId val="{00000003-DD0E-4620-BCAB-6C5EE5A8952C}"/>
              </c:ext>
            </c:extLst>
          </c:dPt>
          <c:dPt>
            <c:idx val="2"/>
            <c:bubble3D val="0"/>
            <c:spPr>
              <a:solidFill>
                <a:schemeClr val="accent3"/>
              </a:solidFill>
              <a:ln w="31750">
                <a:solidFill>
                  <a:schemeClr val="lt1"/>
                </a:solidFill>
              </a:ln>
              <a:effectLst/>
            </c:spPr>
            <c:extLst>
              <c:ext xmlns:c16="http://schemas.microsoft.com/office/drawing/2014/chart" uri="{C3380CC4-5D6E-409C-BE32-E72D297353CC}">
                <c16:uniqueId val="{00000005-DD0E-4620-BCAB-6C5EE5A8952C}"/>
              </c:ext>
            </c:extLst>
          </c:dPt>
          <c:dPt>
            <c:idx val="3"/>
            <c:bubble3D val="0"/>
            <c:spPr>
              <a:solidFill>
                <a:schemeClr val="accent1"/>
              </a:solidFill>
              <a:ln w="31750">
                <a:solidFill>
                  <a:schemeClr val="lt1"/>
                </a:solidFill>
              </a:ln>
              <a:effectLst/>
            </c:spPr>
            <c:extLst>
              <c:ext xmlns:c16="http://schemas.microsoft.com/office/drawing/2014/chart" uri="{C3380CC4-5D6E-409C-BE32-E72D297353CC}">
                <c16:uniqueId val="{00000007-DD0E-4620-BCAB-6C5EE5A8952C}"/>
              </c:ext>
            </c:extLst>
          </c:dPt>
          <c:dPt>
            <c:idx val="4"/>
            <c:bubble3D val="0"/>
            <c:spPr>
              <a:solidFill>
                <a:schemeClr val="accent1"/>
              </a:solidFill>
              <a:ln w="31750">
                <a:solidFill>
                  <a:schemeClr val="lt1"/>
                </a:solidFill>
              </a:ln>
              <a:effectLst/>
            </c:spPr>
            <c:extLst>
              <c:ext xmlns:c16="http://schemas.microsoft.com/office/drawing/2014/chart" uri="{C3380CC4-5D6E-409C-BE32-E72D297353CC}">
                <c16:uniqueId val="{00000009-DD0E-4620-BCAB-6C5EE5A8952C}"/>
              </c:ext>
            </c:extLst>
          </c:dPt>
          <c:dLbls>
            <c:dLbl>
              <c:idx val="0"/>
              <c:layout>
                <c:manualLayout>
                  <c:x val="5.4331720482437652E-2"/>
                  <c:y val="-8.05559011303446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0E-4620-BCAB-6C5EE5A8952C}"/>
                </c:ext>
              </c:extLst>
            </c:dLbl>
            <c:dLbl>
              <c:idx val="1"/>
              <c:layout>
                <c:manualLayout>
                  <c:x val="9.0959196910781678E-2"/>
                  <c:y val="3.67463495710955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0E-4620-BCAB-6C5EE5A8952C}"/>
                </c:ext>
              </c:extLst>
            </c:dLbl>
            <c:dLbl>
              <c:idx val="2"/>
              <c:layout>
                <c:manualLayout>
                  <c:x val="2.2060910754867803E-2"/>
                  <c:y val="9.012951947715661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DD0E-4620-BCAB-6C5EE5A8952C}"/>
                </c:ext>
              </c:extLst>
            </c:dLbl>
            <c:dLbl>
              <c:idx val="3"/>
              <c:layout>
                <c:manualLayout>
                  <c:x val="-0.10518084854921229"/>
                  <c:y val="8.6938213214050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0E-4620-BCAB-6C5EE5A8952C}"/>
                </c:ext>
              </c:extLst>
            </c:dLbl>
            <c:dLbl>
              <c:idx val="4"/>
              <c:layout>
                <c:manualLayout>
                  <c:x val="-9.3095761425132997E-2"/>
                  <c:y val="-3.9080478971053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D0E-4620-BCAB-6C5EE5A895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Pivots!$A$44:$A$49</c:f>
              <c:strCache>
                <c:ptCount val="5"/>
                <c:pt idx="0">
                  <c:v>Art &amp; Crafts</c:v>
                </c:pt>
                <c:pt idx="1">
                  <c:v>Electronics</c:v>
                </c:pt>
                <c:pt idx="2">
                  <c:v>Games</c:v>
                </c:pt>
                <c:pt idx="3">
                  <c:v>Sports &amp; Outdoors</c:v>
                </c:pt>
                <c:pt idx="4">
                  <c:v>Toys</c:v>
                </c:pt>
              </c:strCache>
            </c:strRef>
          </c:cat>
          <c:val>
            <c:numRef>
              <c:f>Pivots!$B$44:$B$49</c:f>
              <c:numCache>
                <c:formatCode>0.00%</c:formatCode>
                <c:ptCount val="5"/>
                <c:pt idx="0">
                  <c:v>0.18768025841367864</c:v>
                </c:pt>
                <c:pt idx="1">
                  <c:v>0.24948424637689465</c:v>
                </c:pt>
                <c:pt idx="2">
                  <c:v>0.16790934993244941</c:v>
                </c:pt>
                <c:pt idx="3">
                  <c:v>0.12598762988508552</c:v>
                </c:pt>
                <c:pt idx="4">
                  <c:v>0.26893851539189179</c:v>
                </c:pt>
              </c:numCache>
            </c:numRef>
          </c:val>
          <c:extLst>
            <c:ext xmlns:c16="http://schemas.microsoft.com/office/drawing/2014/chart" uri="{C3380CC4-5D6E-409C-BE32-E72D297353CC}">
              <c16:uniqueId val="{0000000A-DD0E-4620-BCAB-6C5EE5A8952C}"/>
            </c:ext>
          </c:extLst>
        </c:ser>
        <c:dLbls>
          <c:showLegendKey val="0"/>
          <c:showVal val="1"/>
          <c:showCatName val="0"/>
          <c:showSerName val="0"/>
          <c:showPercent val="0"/>
          <c:showBubbleSize val="0"/>
          <c:showLeaderLines val="0"/>
        </c:dLbls>
        <c:firstSliceAng val="0"/>
        <c:holeSize val="64"/>
      </c:doughnutChart>
      <c:spPr>
        <a:noFill/>
        <a:ln>
          <a:noFill/>
        </a:ln>
        <a:effectLst/>
      </c:spPr>
    </c:plotArea>
    <c:legend>
      <c:legendPos val="r"/>
      <c:layout>
        <c:manualLayout>
          <c:xMode val="edge"/>
          <c:yMode val="edge"/>
          <c:x val="0.60728973072403269"/>
          <c:y val="0.21230939127912812"/>
          <c:w val="0.37470887343682258"/>
          <c:h val="0.75227391881490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Analysis.xlsx]Pivots!units sold by location</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Units Sold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chemeClr val="tx2">
                  <a:lumMod val="75000"/>
                  <a:lumOff val="25000"/>
                </a:schemeClr>
              </a:gs>
              <a:gs pos="56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Pivots!$B$52</c:f>
              <c:strCache>
                <c:ptCount val="1"/>
                <c:pt idx="0">
                  <c:v>Total</c:v>
                </c:pt>
              </c:strCache>
            </c:strRef>
          </c:tx>
          <c:spPr>
            <a:gradFill>
              <a:gsLst>
                <a:gs pos="0">
                  <a:schemeClr val="accent1">
                    <a:lumMod val="5000"/>
                    <a:lumOff val="95000"/>
                  </a:schemeClr>
                </a:gs>
                <a:gs pos="0">
                  <a:schemeClr val="tx2">
                    <a:lumMod val="75000"/>
                    <a:lumOff val="25000"/>
                  </a:schemeClr>
                </a:gs>
                <a:gs pos="56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Pivots!$A$53:$A$57</c:f>
              <c:strCache>
                <c:ptCount val="4"/>
                <c:pt idx="0">
                  <c:v>Downtown</c:v>
                </c:pt>
                <c:pt idx="1">
                  <c:v>Commercial</c:v>
                </c:pt>
                <c:pt idx="2">
                  <c:v>Residential</c:v>
                </c:pt>
                <c:pt idx="3">
                  <c:v>Airport</c:v>
                </c:pt>
              </c:strCache>
            </c:strRef>
          </c:cat>
          <c:val>
            <c:numRef>
              <c:f>Pivots!$B$53:$B$57</c:f>
              <c:numCache>
                <c:formatCode>General</c:formatCode>
                <c:ptCount val="4"/>
                <c:pt idx="0">
                  <c:v>624180</c:v>
                </c:pt>
                <c:pt idx="1">
                  <c:v>239103</c:v>
                </c:pt>
                <c:pt idx="2">
                  <c:v>125147</c:v>
                </c:pt>
                <c:pt idx="3">
                  <c:v>95461</c:v>
                </c:pt>
              </c:numCache>
            </c:numRef>
          </c:val>
          <c:extLst>
            <c:ext xmlns:c16="http://schemas.microsoft.com/office/drawing/2014/chart" uri="{C3380CC4-5D6E-409C-BE32-E72D297353CC}">
              <c16:uniqueId val="{00000000-1493-4895-8F44-AF27BFDEBF9D}"/>
            </c:ext>
          </c:extLst>
        </c:ser>
        <c:dLbls>
          <c:showLegendKey val="0"/>
          <c:showVal val="0"/>
          <c:showCatName val="0"/>
          <c:showSerName val="0"/>
          <c:showPercent val="0"/>
          <c:showBubbleSize val="0"/>
        </c:dLbls>
        <c:gapWidth val="100"/>
        <c:overlap val="-27"/>
        <c:axId val="419067647"/>
        <c:axId val="419105567"/>
      </c:barChart>
      <c:catAx>
        <c:axId val="41906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05567"/>
        <c:crosses val="autoZero"/>
        <c:auto val="1"/>
        <c:lblAlgn val="ctr"/>
        <c:lblOffset val="100"/>
        <c:noMultiLvlLbl val="0"/>
      </c:catAx>
      <c:valAx>
        <c:axId val="419105567"/>
        <c:scaling>
          <c:orientation val="minMax"/>
        </c:scaling>
        <c:delete val="1"/>
        <c:axPos val="l"/>
        <c:numFmt formatCode="General" sourceLinked="1"/>
        <c:majorTickMark val="none"/>
        <c:minorTickMark val="none"/>
        <c:tickLblPos val="nextTo"/>
        <c:crossAx val="41906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Analysis.xlsx]Pivots!top 5 by rev</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5000"/>
                  <a:lumOff val="55000"/>
                </a:schemeClr>
              </a:gs>
              <a:gs pos="60000">
                <a:schemeClr val="tx2">
                  <a:lumMod val="75000"/>
                  <a:lumOff val="25000"/>
                </a:schemeClr>
              </a:gs>
            </a:gsLst>
            <a:lin ang="2700000" scaled="1"/>
            <a:tileRect/>
          </a:gra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45000"/>
                  <a:lumOff val="55000"/>
                </a:schemeClr>
              </a:gs>
              <a:gs pos="60000">
                <a:schemeClr val="tx2">
                  <a:lumMod val="75000"/>
                  <a:lumOff val="25000"/>
                </a:schemeClr>
              </a:gs>
            </a:gsLst>
            <a:lin ang="2700000" scaled="1"/>
            <a:tileRect/>
          </a:gradFill>
          <a:ln>
            <a:noFill/>
          </a:ln>
          <a:effectLst/>
        </c:spPr>
      </c:pivotFmt>
      <c:pivotFmt>
        <c:idx val="4"/>
        <c:spPr>
          <a:gradFill flip="none" rotWithShape="1">
            <a:gsLst>
              <a:gs pos="0">
                <a:schemeClr val="accent1">
                  <a:lumMod val="45000"/>
                  <a:lumOff val="55000"/>
                </a:schemeClr>
              </a:gs>
              <a:gs pos="60000">
                <a:schemeClr val="tx2">
                  <a:lumMod val="75000"/>
                  <a:lumOff val="25000"/>
                </a:schemeClr>
              </a:gs>
            </a:gsLst>
            <a:lin ang="2700000" scaled="1"/>
            <a:tileRect/>
          </a:gradFill>
          <a:ln>
            <a:noFill/>
          </a:ln>
          <a:effectLst/>
        </c:spPr>
      </c:pivotFmt>
      <c:pivotFmt>
        <c:idx val="5"/>
        <c:spPr>
          <a:gradFill flip="none" rotWithShape="1">
            <a:gsLst>
              <a:gs pos="0">
                <a:schemeClr val="accent1">
                  <a:lumMod val="45000"/>
                  <a:lumOff val="55000"/>
                </a:schemeClr>
              </a:gs>
              <a:gs pos="60000">
                <a:schemeClr val="tx2">
                  <a:lumMod val="75000"/>
                  <a:lumOff val="25000"/>
                </a:schemeClr>
              </a:gs>
            </a:gsLst>
            <a:lin ang="2700000" scaled="1"/>
            <a:tileRect/>
          </a:gradFill>
          <a:ln>
            <a:noFill/>
          </a:ln>
          <a:effectLst/>
        </c:spPr>
      </c:pivotFmt>
    </c:pivotFmts>
    <c:plotArea>
      <c:layout/>
      <c:barChart>
        <c:barDir val="bar"/>
        <c:grouping val="clustered"/>
        <c:varyColors val="0"/>
        <c:ser>
          <c:idx val="0"/>
          <c:order val="0"/>
          <c:tx>
            <c:strRef>
              <c:f>Pivots!$B$62</c:f>
              <c:strCache>
                <c:ptCount val="1"/>
                <c:pt idx="0">
                  <c:v>Total</c:v>
                </c:pt>
              </c:strCache>
            </c:strRef>
          </c:tx>
          <c:spPr>
            <a:gradFill flip="none" rotWithShape="1">
              <a:gsLst>
                <a:gs pos="0">
                  <a:schemeClr val="accent1">
                    <a:lumMod val="45000"/>
                    <a:lumOff val="55000"/>
                  </a:schemeClr>
                </a:gs>
                <a:gs pos="60000">
                  <a:schemeClr val="tx2">
                    <a:lumMod val="75000"/>
                    <a:lumOff val="25000"/>
                  </a:schemeClr>
                </a:gs>
              </a:gsLst>
              <a:lin ang="2700000" scaled="1"/>
              <a:tileRect/>
            </a:gra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Pivots!$A$63:$A$68</c:f>
              <c:strCache>
                <c:ptCount val="5"/>
                <c:pt idx="0">
                  <c:v>Rubik's Cube</c:v>
                </c:pt>
                <c:pt idx="1">
                  <c:v>Action Figure</c:v>
                </c:pt>
                <c:pt idx="2">
                  <c:v>Magic Sand</c:v>
                </c:pt>
                <c:pt idx="3">
                  <c:v>Colorbuds</c:v>
                </c:pt>
                <c:pt idx="4">
                  <c:v>Lego Bricks</c:v>
                </c:pt>
              </c:strCache>
            </c:strRef>
          </c:cat>
          <c:val>
            <c:numRef>
              <c:f>Pivots!$B$63:$B$68</c:f>
              <c:numCache>
                <c:formatCode>General</c:formatCode>
                <c:ptCount val="5"/>
                <c:pt idx="0">
                  <c:v>912983.28</c:v>
                </c:pt>
                <c:pt idx="1">
                  <c:v>926748.42</c:v>
                </c:pt>
                <c:pt idx="2">
                  <c:v>968962.02</c:v>
                </c:pt>
                <c:pt idx="3">
                  <c:v>1564476.32</c:v>
                </c:pt>
                <c:pt idx="4">
                  <c:v>2388882.63</c:v>
                </c:pt>
              </c:numCache>
            </c:numRef>
          </c:val>
          <c:extLst>
            <c:ext xmlns:c16="http://schemas.microsoft.com/office/drawing/2014/chart" uri="{C3380CC4-5D6E-409C-BE32-E72D297353CC}">
              <c16:uniqueId val="{00000000-94B9-4D49-BFFE-E893A099D6A4}"/>
            </c:ext>
          </c:extLst>
        </c:ser>
        <c:dLbls>
          <c:dLblPos val="outEnd"/>
          <c:showLegendKey val="0"/>
          <c:showVal val="1"/>
          <c:showCatName val="0"/>
          <c:showSerName val="0"/>
          <c:showPercent val="0"/>
          <c:showBubbleSize val="0"/>
        </c:dLbls>
        <c:gapWidth val="70"/>
        <c:axId val="1155847775"/>
        <c:axId val="1155832895"/>
      </c:barChart>
      <c:catAx>
        <c:axId val="115584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32895"/>
        <c:crosses val="autoZero"/>
        <c:auto val="1"/>
        <c:lblAlgn val="ctr"/>
        <c:lblOffset val="100"/>
        <c:noMultiLvlLbl val="0"/>
      </c:catAx>
      <c:valAx>
        <c:axId val="1155832895"/>
        <c:scaling>
          <c:orientation val="minMax"/>
        </c:scaling>
        <c:delete val="1"/>
        <c:axPos val="b"/>
        <c:numFmt formatCode="General" sourceLinked="1"/>
        <c:majorTickMark val="none"/>
        <c:minorTickMark val="none"/>
        <c:tickLblPos val="nextTo"/>
        <c:crossAx val="115584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Analysis.xlsx]Pivots!rev monthly</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Monthly Revenue Trend</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Pivots!$B$72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Pivots!$A$73:$A$85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Pivots!$B$73:$B$85</c:f>
              <c:numCache>
                <c:formatCode>"$"#,##0</c:formatCode>
                <c:ptCount val="12"/>
                <c:pt idx="0">
                  <c:v>1289751.1300000001</c:v>
                </c:pt>
                <c:pt idx="1">
                  <c:v>1263983.8400000003</c:v>
                </c:pt>
                <c:pt idx="2">
                  <c:v>1473000.83</c:v>
                </c:pt>
                <c:pt idx="3">
                  <c:v>1508764.0499999996</c:v>
                </c:pt>
                <c:pt idx="4">
                  <c:v>1497689.39</c:v>
                </c:pt>
                <c:pt idx="5">
                  <c:v>1470279.4700000004</c:v>
                </c:pt>
                <c:pt idx="6">
                  <c:v>1384383.09</c:v>
                </c:pt>
                <c:pt idx="7">
                  <c:v>1150299.8000000003</c:v>
                </c:pt>
                <c:pt idx="8">
                  <c:v>1244038.5200000003</c:v>
                </c:pt>
                <c:pt idx="9">
                  <c:v>623874.39000000013</c:v>
                </c:pt>
                <c:pt idx="10">
                  <c:v>661304.15</c:v>
                </c:pt>
                <c:pt idx="11">
                  <c:v>877203.68999999983</c:v>
                </c:pt>
              </c:numCache>
            </c:numRef>
          </c:val>
          <c:smooth val="0"/>
          <c:extLst>
            <c:ext xmlns:c16="http://schemas.microsoft.com/office/drawing/2014/chart" uri="{C3380CC4-5D6E-409C-BE32-E72D297353CC}">
              <c16:uniqueId val="{00000002-3015-436D-8A15-76FBCBC929CB}"/>
            </c:ext>
          </c:extLst>
        </c:ser>
        <c:dLbls>
          <c:showLegendKey val="0"/>
          <c:showVal val="0"/>
          <c:showCatName val="0"/>
          <c:showSerName val="0"/>
          <c:showPercent val="0"/>
          <c:showBubbleSize val="0"/>
        </c:dLbls>
        <c:marker val="1"/>
        <c:smooth val="0"/>
        <c:axId val="1155851615"/>
        <c:axId val="1155848255"/>
      </c:lineChart>
      <c:catAx>
        <c:axId val="115585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48255"/>
        <c:crosses val="autoZero"/>
        <c:auto val="1"/>
        <c:lblAlgn val="ctr"/>
        <c:lblOffset val="100"/>
        <c:noMultiLvlLbl val="0"/>
      </c:catAx>
      <c:valAx>
        <c:axId val="1155848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5851615"/>
        <c:crosses val="autoZero"/>
        <c:crossBetween val="between"/>
      </c:valAx>
    </c:plotArea>
    <c:plotVisOnly val="1"/>
    <c:dispBlanksAs val="zero"/>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Toys Sale Analysis.xlsx]Pivots!rev day of week</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Revenue by Day of Week</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chemeClr val="tx2">
                  <a:lumMod val="75000"/>
                  <a:lumOff val="25000"/>
                </a:schemeClr>
              </a:gs>
              <a:gs pos="56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Pivots!$B$88</c:f>
              <c:strCache>
                <c:ptCount val="1"/>
                <c:pt idx="0">
                  <c:v>Total</c:v>
                </c:pt>
              </c:strCache>
            </c:strRef>
          </c:tx>
          <c:spPr>
            <a:gradFill>
              <a:gsLst>
                <a:gs pos="0">
                  <a:schemeClr val="accent1">
                    <a:lumMod val="5000"/>
                    <a:lumOff val="95000"/>
                  </a:schemeClr>
                </a:gs>
                <a:gs pos="0">
                  <a:schemeClr val="tx2">
                    <a:lumMod val="75000"/>
                    <a:lumOff val="25000"/>
                  </a:schemeClr>
                </a:gs>
                <a:gs pos="56000">
                  <a:schemeClr val="accent1">
                    <a:lumMod val="45000"/>
                    <a:lumOff val="55000"/>
                  </a:schemeClr>
                </a:gs>
                <a:gs pos="100000">
                  <a:schemeClr val="accent1">
                    <a:lumMod val="30000"/>
                    <a:lumOff val="70000"/>
                  </a:schemeClr>
                </a:gs>
              </a:gsLst>
              <a:lin ang="5400000" scaled="1"/>
            </a:gradFill>
            <a:ln>
              <a:noFill/>
            </a:ln>
            <a:effectLst/>
          </c:spPr>
          <c:invertIfNegative val="0"/>
          <c:cat>
            <c:strRef>
              <c:f>Pivots!$A$89:$A$96</c:f>
              <c:strCache>
                <c:ptCount val="7"/>
                <c:pt idx="0">
                  <c:v>Sun</c:v>
                </c:pt>
                <c:pt idx="1">
                  <c:v>Mon</c:v>
                </c:pt>
                <c:pt idx="2">
                  <c:v>Tue</c:v>
                </c:pt>
                <c:pt idx="3">
                  <c:v>Wed</c:v>
                </c:pt>
                <c:pt idx="4">
                  <c:v>Thu</c:v>
                </c:pt>
                <c:pt idx="5">
                  <c:v>Fri</c:v>
                </c:pt>
                <c:pt idx="6">
                  <c:v>Sat</c:v>
                </c:pt>
              </c:strCache>
            </c:strRef>
          </c:cat>
          <c:val>
            <c:numRef>
              <c:f>Pivots!$B$89:$B$96</c:f>
              <c:numCache>
                <c:formatCode>"$"#,##0</c:formatCode>
                <c:ptCount val="7"/>
                <c:pt idx="0">
                  <c:v>1749744</c:v>
                </c:pt>
                <c:pt idx="1">
                  <c:v>1531130.01</c:v>
                </c:pt>
                <c:pt idx="2">
                  <c:v>1637492.19</c:v>
                </c:pt>
                <c:pt idx="3">
                  <c:v>1732068.5899999999</c:v>
                </c:pt>
                <c:pt idx="4">
                  <c:v>2183641.79</c:v>
                </c:pt>
                <c:pt idx="5">
                  <c:v>2750302.26</c:v>
                </c:pt>
                <c:pt idx="6">
                  <c:v>2860193.51</c:v>
                </c:pt>
              </c:numCache>
            </c:numRef>
          </c:val>
          <c:extLst>
            <c:ext xmlns:c16="http://schemas.microsoft.com/office/drawing/2014/chart" uri="{C3380CC4-5D6E-409C-BE32-E72D297353CC}">
              <c16:uniqueId val="{00000000-AD47-467D-96A5-90079AAB36C0}"/>
            </c:ext>
          </c:extLst>
        </c:ser>
        <c:dLbls>
          <c:showLegendKey val="0"/>
          <c:showVal val="0"/>
          <c:showCatName val="0"/>
          <c:showSerName val="0"/>
          <c:showPercent val="0"/>
          <c:showBubbleSize val="0"/>
        </c:dLbls>
        <c:gapWidth val="75"/>
        <c:overlap val="100"/>
        <c:axId val="1385585311"/>
        <c:axId val="1385597311"/>
      </c:barChart>
      <c:catAx>
        <c:axId val="13855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597311"/>
        <c:crosses val="autoZero"/>
        <c:auto val="1"/>
        <c:lblAlgn val="ctr"/>
        <c:lblOffset val="100"/>
        <c:noMultiLvlLbl val="0"/>
      </c:catAx>
      <c:valAx>
        <c:axId val="1385597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55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185737</xdr:colOff>
      <xdr:row>7</xdr:row>
      <xdr:rowOff>128587</xdr:rowOff>
    </xdr:from>
    <xdr:to>
      <xdr:col>4</xdr:col>
      <xdr:colOff>0</xdr:colOff>
      <xdr:row>19</xdr:row>
      <xdr:rowOff>0</xdr:rowOff>
    </xdr:to>
    <xdr:graphicFrame macro="">
      <xdr:nvGraphicFramePr>
        <xdr:cNvPr id="4" name="Chart 3">
          <a:extLst>
            <a:ext uri="{FF2B5EF4-FFF2-40B4-BE49-F238E27FC236}">
              <a16:creationId xmlns:a16="http://schemas.microsoft.com/office/drawing/2014/main" id="{209E3295-BBBE-3A19-5F50-064E63E65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24847</xdr:colOff>
      <xdr:row>20</xdr:row>
      <xdr:rowOff>102704</xdr:rowOff>
    </xdr:from>
    <xdr:to>
      <xdr:col>5</xdr:col>
      <xdr:colOff>207065</xdr:colOff>
      <xdr:row>28</xdr:row>
      <xdr:rowOff>173935</xdr:rowOff>
    </xdr:to>
    <xdr:graphicFrame macro="">
      <xdr:nvGraphicFramePr>
        <xdr:cNvPr id="7" name="Chart 6">
          <a:extLst>
            <a:ext uri="{FF2B5EF4-FFF2-40B4-BE49-F238E27FC236}">
              <a16:creationId xmlns:a16="http://schemas.microsoft.com/office/drawing/2014/main" id="{0396CA3D-EAD6-866D-7590-8DB478A1F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248479</xdr:colOff>
      <xdr:row>40</xdr:row>
      <xdr:rowOff>33128</xdr:rowOff>
    </xdr:from>
    <xdr:to>
      <xdr:col>3</xdr:col>
      <xdr:colOff>1408044</xdr:colOff>
      <xdr:row>49</xdr:row>
      <xdr:rowOff>132521</xdr:rowOff>
    </xdr:to>
    <xdr:graphicFrame macro="">
      <xdr:nvGraphicFramePr>
        <xdr:cNvPr id="10" name="Chart 9">
          <a:extLst>
            <a:ext uri="{FF2B5EF4-FFF2-40B4-BE49-F238E27FC236}">
              <a16:creationId xmlns:a16="http://schemas.microsoft.com/office/drawing/2014/main" id="{6DBA9B17-E95B-DAFC-859E-A8E32C33D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227771</xdr:colOff>
      <xdr:row>30</xdr:row>
      <xdr:rowOff>33130</xdr:rowOff>
    </xdr:from>
    <xdr:to>
      <xdr:col>3</xdr:col>
      <xdr:colOff>1399761</xdr:colOff>
      <xdr:row>39</xdr:row>
      <xdr:rowOff>149087</xdr:rowOff>
    </xdr:to>
    <xdr:graphicFrame macro="">
      <xdr:nvGraphicFramePr>
        <xdr:cNvPr id="11" name="Chart 10">
          <a:extLst>
            <a:ext uri="{FF2B5EF4-FFF2-40B4-BE49-F238E27FC236}">
              <a16:creationId xmlns:a16="http://schemas.microsoft.com/office/drawing/2014/main" id="{5242D82F-4833-032C-EB21-E779D337D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91108</xdr:colOff>
      <xdr:row>50</xdr:row>
      <xdr:rowOff>74544</xdr:rowOff>
    </xdr:from>
    <xdr:to>
      <xdr:col>4</xdr:col>
      <xdr:colOff>124239</xdr:colOff>
      <xdr:row>58</xdr:row>
      <xdr:rowOff>145774</xdr:rowOff>
    </xdr:to>
    <xdr:graphicFrame macro="">
      <xdr:nvGraphicFramePr>
        <xdr:cNvPr id="13" name="Chart 12">
          <a:extLst>
            <a:ext uri="{FF2B5EF4-FFF2-40B4-BE49-F238E27FC236}">
              <a16:creationId xmlns:a16="http://schemas.microsoft.com/office/drawing/2014/main" id="{D807AFFA-3F5E-E87E-34B6-CB460B5C8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66260</xdr:colOff>
      <xdr:row>58</xdr:row>
      <xdr:rowOff>185530</xdr:rowOff>
    </xdr:from>
    <xdr:to>
      <xdr:col>4</xdr:col>
      <xdr:colOff>1068456</xdr:colOff>
      <xdr:row>67</xdr:row>
      <xdr:rowOff>182217</xdr:rowOff>
    </xdr:to>
    <xdr:graphicFrame macro="">
      <xdr:nvGraphicFramePr>
        <xdr:cNvPr id="14" name="Chart 13">
          <a:extLst>
            <a:ext uri="{FF2B5EF4-FFF2-40B4-BE49-F238E27FC236}">
              <a16:creationId xmlns:a16="http://schemas.microsoft.com/office/drawing/2014/main" id="{261A5FCE-265D-B896-AA56-248EF46A3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886239</xdr:colOff>
      <xdr:row>68</xdr:row>
      <xdr:rowOff>36443</xdr:rowOff>
    </xdr:from>
    <xdr:to>
      <xdr:col>5</xdr:col>
      <xdr:colOff>265044</xdr:colOff>
      <xdr:row>82</xdr:row>
      <xdr:rowOff>112643</xdr:rowOff>
    </xdr:to>
    <xdr:graphicFrame macro="">
      <xdr:nvGraphicFramePr>
        <xdr:cNvPr id="15" name="Chart 14">
          <a:extLst>
            <a:ext uri="{FF2B5EF4-FFF2-40B4-BE49-F238E27FC236}">
              <a16:creationId xmlns:a16="http://schemas.microsoft.com/office/drawing/2014/main" id="{A5AC2F87-5140-7E61-7B6A-1819DC304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173933</xdr:colOff>
      <xdr:row>86</xdr:row>
      <xdr:rowOff>69573</xdr:rowOff>
    </xdr:from>
    <xdr:to>
      <xdr:col>4</xdr:col>
      <xdr:colOff>1176129</xdr:colOff>
      <xdr:row>97</xdr:row>
      <xdr:rowOff>165652</xdr:rowOff>
    </xdr:to>
    <xdr:graphicFrame macro="">
      <xdr:nvGraphicFramePr>
        <xdr:cNvPr id="16" name="Chart 15">
          <a:extLst>
            <a:ext uri="{FF2B5EF4-FFF2-40B4-BE49-F238E27FC236}">
              <a16:creationId xmlns:a16="http://schemas.microsoft.com/office/drawing/2014/main" id="{D54513D5-C127-FB20-A098-7A089A8FC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357809</xdr:colOff>
      <xdr:row>68</xdr:row>
      <xdr:rowOff>33131</xdr:rowOff>
    </xdr:from>
    <xdr:to>
      <xdr:col>8</xdr:col>
      <xdr:colOff>347870</xdr:colOff>
      <xdr:row>73</xdr:row>
      <xdr:rowOff>91109</xdr:rowOff>
    </xdr:to>
    <mc:AlternateContent xmlns:mc="http://schemas.openxmlformats.org/markup-compatibility/2006" xmlns:a14="http://schemas.microsoft.com/office/drawing/2010/main">
      <mc:Choice Requires="a14">
        <xdr:graphicFrame macro="">
          <xdr:nvGraphicFramePr>
            <xdr:cNvPr id="17" name="sale_year">
              <a:extLst>
                <a:ext uri="{FF2B5EF4-FFF2-40B4-BE49-F238E27FC236}">
                  <a16:creationId xmlns:a16="http://schemas.microsoft.com/office/drawing/2014/main" id="{207EF08F-6A2E-75CB-4BE0-49BEB1DCE08B}"/>
                </a:ext>
              </a:extLst>
            </xdr:cNvPr>
            <xdr:cNvGraphicFramePr/>
          </xdr:nvGraphicFramePr>
          <xdr:xfrm>
            <a:off x="0" y="0"/>
            <a:ext cx="0" cy="0"/>
          </xdr:xfrm>
          <a:graphic>
            <a:graphicData uri="http://schemas.microsoft.com/office/drawing/2010/slicer">
              <sle:slicer xmlns:sle="http://schemas.microsoft.com/office/drawing/2010/slicer" name="sale_year"/>
            </a:graphicData>
          </a:graphic>
        </xdr:graphicFrame>
      </mc:Choice>
      <mc:Fallback xmlns="">
        <xdr:sp macro="" textlink="">
          <xdr:nvSpPr>
            <xdr:cNvPr id="0" name=""/>
            <xdr:cNvSpPr>
              <a:spLocks noTextEdit="1"/>
            </xdr:cNvSpPr>
          </xdr:nvSpPr>
          <xdr:spPr>
            <a:xfrm>
              <a:off x="8035787" y="12987131"/>
              <a:ext cx="1828800" cy="1010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332635</xdr:colOff>
      <xdr:row>2</xdr:row>
      <xdr:rowOff>132631</xdr:rowOff>
    </xdr:from>
    <xdr:to>
      <xdr:col>4</xdr:col>
      <xdr:colOff>123264</xdr:colOff>
      <xdr:row>5</xdr:row>
      <xdr:rowOff>123265</xdr:rowOff>
    </xdr:to>
    <xdr:grpSp>
      <xdr:nvGrpSpPr>
        <xdr:cNvPr id="19" name="Group 18">
          <a:extLst>
            <a:ext uri="{FF2B5EF4-FFF2-40B4-BE49-F238E27FC236}">
              <a16:creationId xmlns:a16="http://schemas.microsoft.com/office/drawing/2014/main" id="{02BCEDD7-8F1D-D6AC-BC32-E938DBCF2A81}"/>
            </a:ext>
          </a:extLst>
        </xdr:cNvPr>
        <xdr:cNvGrpSpPr/>
      </xdr:nvGrpSpPr>
      <xdr:grpSpPr>
        <a:xfrm>
          <a:off x="937753" y="513631"/>
          <a:ext cx="1605982" cy="562134"/>
          <a:chOff x="1353109" y="563627"/>
          <a:chExt cx="1553137" cy="589444"/>
        </a:xfrm>
      </xdr:grpSpPr>
      <xdr:sp macro="" textlink="">
        <xdr:nvSpPr>
          <xdr:cNvPr id="4" name="Rectangle: Rounded Corners 3">
            <a:extLst>
              <a:ext uri="{FF2B5EF4-FFF2-40B4-BE49-F238E27FC236}">
                <a16:creationId xmlns:a16="http://schemas.microsoft.com/office/drawing/2014/main" id="{1CE83802-2D2A-40D8-9F14-30E93B655B2C}"/>
              </a:ext>
            </a:extLst>
          </xdr:cNvPr>
          <xdr:cNvSpPr/>
        </xdr:nvSpPr>
        <xdr:spPr>
          <a:xfrm>
            <a:off x="1356026" y="563627"/>
            <a:ext cx="1548022" cy="589444"/>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529CD4B9-4508-EAE5-0C63-BC4C2CB6CCA4}"/>
              </a:ext>
            </a:extLst>
          </xdr:cNvPr>
          <xdr:cNvSpPr txBox="1"/>
        </xdr:nvSpPr>
        <xdr:spPr>
          <a:xfrm>
            <a:off x="1520550" y="565668"/>
            <a:ext cx="1270800" cy="232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panose="020B0502040204020203" pitchFamily="34" charset="0"/>
                <a:cs typeface="Segoe UI" panose="020B0502040204020203" pitchFamily="34" charset="0"/>
              </a:rPr>
              <a:t>Total Revenue</a:t>
            </a:r>
          </a:p>
        </xdr:txBody>
      </xdr:sp>
      <xdr:sp macro="" textlink="Pivots!A6">
        <xdr:nvSpPr>
          <xdr:cNvPr id="6" name="TextBox 5">
            <a:extLst>
              <a:ext uri="{FF2B5EF4-FFF2-40B4-BE49-F238E27FC236}">
                <a16:creationId xmlns:a16="http://schemas.microsoft.com/office/drawing/2014/main" id="{9263DA27-F6E8-4105-9590-BE91DEB73460}"/>
              </a:ext>
            </a:extLst>
          </xdr:cNvPr>
          <xdr:cNvSpPr txBox="1"/>
        </xdr:nvSpPr>
        <xdr:spPr>
          <a:xfrm>
            <a:off x="1353109" y="747284"/>
            <a:ext cx="1553137" cy="359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427F943-9F84-494E-999F-6D83ADCF6446}" type="TxLink">
              <a:rPr lang="en-US" sz="1600" b="1" i="0" u="none" strike="noStrike">
                <a:solidFill>
                  <a:schemeClr val="tx2">
                    <a:lumMod val="75000"/>
                    <a:lumOff val="25000"/>
                  </a:schemeClr>
                </a:solidFill>
                <a:latin typeface="Segoe UI" panose="020B0502040204020203" pitchFamily="34" charset="0"/>
                <a:ea typeface="+mn-ea"/>
                <a:cs typeface="Segoe UI" panose="020B0502040204020203" pitchFamily="34" charset="0"/>
              </a:rPr>
              <a:pPr marL="0" indent="0" algn="ctr"/>
              <a:t> $14,444,572 </a:t>
            </a:fld>
            <a:endParaRPr lang="en-US" sz="1600" b="1">
              <a:solidFill>
                <a:schemeClr val="tx2">
                  <a:lumMod val="75000"/>
                  <a:lumOff val="25000"/>
                </a:schemeClr>
              </a:solidFill>
              <a:latin typeface="Segoe UI" panose="020B0502040204020203" pitchFamily="34" charset="0"/>
              <a:ea typeface="+mn-ea"/>
              <a:cs typeface="Segoe UI" panose="020B0502040204020203" pitchFamily="34" charset="0"/>
            </a:endParaRPr>
          </a:p>
        </xdr:txBody>
      </xdr:sp>
    </xdr:grpSp>
    <xdr:clientData/>
  </xdr:twoCellAnchor>
  <xdr:twoCellAnchor>
    <xdr:from>
      <xdr:col>13</xdr:col>
      <xdr:colOff>500582</xdr:colOff>
      <xdr:row>2</xdr:row>
      <xdr:rowOff>120686</xdr:rowOff>
    </xdr:from>
    <xdr:to>
      <xdr:col>16</xdr:col>
      <xdr:colOff>235323</xdr:colOff>
      <xdr:row>5</xdr:row>
      <xdr:rowOff>123264</xdr:rowOff>
    </xdr:to>
    <xdr:grpSp>
      <xdr:nvGrpSpPr>
        <xdr:cNvPr id="20" name="Group 19">
          <a:extLst>
            <a:ext uri="{FF2B5EF4-FFF2-40B4-BE49-F238E27FC236}">
              <a16:creationId xmlns:a16="http://schemas.microsoft.com/office/drawing/2014/main" id="{8B1DBB4C-F343-D06B-7395-0E18A3910BA6}"/>
            </a:ext>
          </a:extLst>
        </xdr:cNvPr>
        <xdr:cNvGrpSpPr/>
      </xdr:nvGrpSpPr>
      <xdr:grpSpPr>
        <a:xfrm>
          <a:off x="8367111" y="501686"/>
          <a:ext cx="1550094" cy="574078"/>
          <a:chOff x="3302052" y="563627"/>
          <a:chExt cx="1567464" cy="589444"/>
        </a:xfrm>
      </xdr:grpSpPr>
      <xdr:sp macro="" textlink="">
        <xdr:nvSpPr>
          <xdr:cNvPr id="11" name="Rectangle: Rounded Corners 10">
            <a:extLst>
              <a:ext uri="{FF2B5EF4-FFF2-40B4-BE49-F238E27FC236}">
                <a16:creationId xmlns:a16="http://schemas.microsoft.com/office/drawing/2014/main" id="{9EAFBEB9-9DB6-4526-8931-0ACAAD36356A}"/>
              </a:ext>
            </a:extLst>
          </xdr:cNvPr>
          <xdr:cNvSpPr/>
        </xdr:nvSpPr>
        <xdr:spPr>
          <a:xfrm>
            <a:off x="3302052" y="563627"/>
            <a:ext cx="1543539" cy="589444"/>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6F7E98A4-3BC8-4A16-81E6-BCBBBA7F1D86}"/>
              </a:ext>
            </a:extLst>
          </xdr:cNvPr>
          <xdr:cNvSpPr txBox="1"/>
        </xdr:nvSpPr>
        <xdr:spPr>
          <a:xfrm>
            <a:off x="3494898" y="581414"/>
            <a:ext cx="1270800" cy="232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panose="020B0502040204020203" pitchFamily="34" charset="0"/>
                <a:cs typeface="Segoe UI" panose="020B0502040204020203" pitchFamily="34" charset="0"/>
              </a:rPr>
              <a:t>Gross Profit</a:t>
            </a:r>
          </a:p>
        </xdr:txBody>
      </xdr:sp>
      <xdr:sp macro="" textlink="Pivots!B4">
        <xdr:nvSpPr>
          <xdr:cNvPr id="13" name="TextBox 12">
            <a:extLst>
              <a:ext uri="{FF2B5EF4-FFF2-40B4-BE49-F238E27FC236}">
                <a16:creationId xmlns:a16="http://schemas.microsoft.com/office/drawing/2014/main" id="{F0EA5CEA-1526-4765-8F8B-8C7D94BE4537}"/>
              </a:ext>
            </a:extLst>
          </xdr:cNvPr>
          <xdr:cNvSpPr txBox="1"/>
        </xdr:nvSpPr>
        <xdr:spPr>
          <a:xfrm>
            <a:off x="3320863" y="763030"/>
            <a:ext cx="1548653" cy="359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A553D5C6-63AD-443A-A3A2-4836EEB81586}" type="TxLink">
              <a:rPr lang="en-US" sz="1600" b="1" i="0" u="none" strike="noStrike">
                <a:solidFill>
                  <a:schemeClr val="accent6">
                    <a:lumMod val="75000"/>
                  </a:schemeClr>
                </a:solidFill>
                <a:latin typeface="Segoe UI" panose="020B0502040204020203" pitchFamily="34" charset="0"/>
                <a:ea typeface="+mn-ea"/>
                <a:cs typeface="Segoe UI" panose="020B0502040204020203" pitchFamily="34" charset="0"/>
              </a:rPr>
              <a:pPr marL="0" indent="0" algn="ctr"/>
              <a:t> $4,014,029 </a:t>
            </a:fld>
            <a:endParaRPr lang="en-US" sz="1600" b="1" i="0" u="none" strike="noStrike">
              <a:solidFill>
                <a:schemeClr val="accent6">
                  <a:lumMod val="75000"/>
                </a:schemeClr>
              </a:solidFill>
              <a:latin typeface="Segoe UI" panose="020B0502040204020203" pitchFamily="34" charset="0"/>
              <a:ea typeface="+mn-ea"/>
              <a:cs typeface="Segoe UI" panose="020B0502040204020203" pitchFamily="34" charset="0"/>
            </a:endParaRPr>
          </a:p>
        </xdr:txBody>
      </xdr:sp>
    </xdr:grpSp>
    <xdr:clientData/>
  </xdr:twoCellAnchor>
  <xdr:twoCellAnchor>
    <xdr:from>
      <xdr:col>8</xdr:col>
      <xdr:colOff>407137</xdr:colOff>
      <xdr:row>4</xdr:row>
      <xdr:rowOff>2682</xdr:rowOff>
    </xdr:from>
    <xdr:to>
      <xdr:col>11</xdr:col>
      <xdr:colOff>178537</xdr:colOff>
      <xdr:row>5</xdr:row>
      <xdr:rowOff>171263</xdr:rowOff>
    </xdr:to>
    <xdr:sp macro="" textlink="Pivots!F13">
      <xdr:nvSpPr>
        <xdr:cNvPr id="28" name="TextBox 27">
          <a:extLst>
            <a:ext uri="{FF2B5EF4-FFF2-40B4-BE49-F238E27FC236}">
              <a16:creationId xmlns:a16="http://schemas.microsoft.com/office/drawing/2014/main" id="{E76A5F47-BB4C-5471-F5AA-6C640087A542}"/>
            </a:ext>
          </a:extLst>
        </xdr:cNvPr>
        <xdr:cNvSpPr txBox="1"/>
      </xdr:nvSpPr>
      <xdr:spPr>
        <a:xfrm>
          <a:off x="5248078" y="764682"/>
          <a:ext cx="1586753" cy="359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427F943-9F84-494E-999F-6D83ADCF6446}" type="TxLink">
            <a:rPr lang="en-US" sz="1600" b="1" i="0" u="none" strike="noStrike">
              <a:solidFill>
                <a:schemeClr val="tx2">
                  <a:lumMod val="90000"/>
                  <a:lumOff val="10000"/>
                </a:schemeClr>
              </a:solidFill>
              <a:latin typeface="Segoe UI" panose="020B0502040204020203" pitchFamily="34" charset="0"/>
              <a:ea typeface="+mn-ea"/>
              <a:cs typeface="Segoe UI" panose="020B0502040204020203" pitchFamily="34" charset="0"/>
            </a:rPr>
            <a:pPr marL="0" indent="0" algn="ctr"/>
            <a:t> </a:t>
          </a:fld>
          <a:endParaRPr lang="en-US" sz="1600" b="1">
            <a:solidFill>
              <a:schemeClr val="tx2">
                <a:lumMod val="90000"/>
                <a:lumOff val="10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581025</xdr:colOff>
      <xdr:row>4</xdr:row>
      <xdr:rowOff>2682</xdr:rowOff>
    </xdr:from>
    <xdr:to>
      <xdr:col>14</xdr:col>
      <xdr:colOff>352425</xdr:colOff>
      <xdr:row>5</xdr:row>
      <xdr:rowOff>171263</xdr:rowOff>
    </xdr:to>
    <xdr:sp macro="" textlink="Pivots!F13">
      <xdr:nvSpPr>
        <xdr:cNvPr id="32" name="TextBox 31">
          <a:extLst>
            <a:ext uri="{FF2B5EF4-FFF2-40B4-BE49-F238E27FC236}">
              <a16:creationId xmlns:a16="http://schemas.microsoft.com/office/drawing/2014/main" id="{E7267E5C-1341-B6CB-F36B-95811F8C8AC5}"/>
            </a:ext>
          </a:extLst>
        </xdr:cNvPr>
        <xdr:cNvSpPr txBox="1"/>
      </xdr:nvSpPr>
      <xdr:spPr>
        <a:xfrm>
          <a:off x="7237319" y="764682"/>
          <a:ext cx="1586753" cy="359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427F943-9F84-494E-999F-6D83ADCF6446}" type="TxLink">
            <a:rPr lang="en-US" sz="1600" b="1" i="0" u="none" strike="noStrike">
              <a:solidFill>
                <a:schemeClr val="tx2">
                  <a:lumMod val="90000"/>
                  <a:lumOff val="10000"/>
                </a:schemeClr>
              </a:solidFill>
              <a:latin typeface="Segoe UI" panose="020B0502040204020203" pitchFamily="34" charset="0"/>
              <a:ea typeface="+mn-ea"/>
              <a:cs typeface="Segoe UI" panose="020B0502040204020203" pitchFamily="34" charset="0"/>
            </a:rPr>
            <a:pPr marL="0" indent="0" algn="ctr"/>
            <a:t> </a:t>
          </a:fld>
          <a:endParaRPr lang="en-US" sz="1600" b="1">
            <a:solidFill>
              <a:schemeClr val="tx2">
                <a:lumMod val="90000"/>
                <a:lumOff val="10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4</xdr:col>
      <xdr:colOff>343082</xdr:colOff>
      <xdr:row>2</xdr:row>
      <xdr:rowOff>110895</xdr:rowOff>
    </xdr:from>
    <xdr:to>
      <xdr:col>7</xdr:col>
      <xdr:colOff>63030</xdr:colOff>
      <xdr:row>5</xdr:row>
      <xdr:rowOff>115467</xdr:rowOff>
    </xdr:to>
    <xdr:grpSp>
      <xdr:nvGrpSpPr>
        <xdr:cNvPr id="21" name="Group 20">
          <a:extLst>
            <a:ext uri="{FF2B5EF4-FFF2-40B4-BE49-F238E27FC236}">
              <a16:creationId xmlns:a16="http://schemas.microsoft.com/office/drawing/2014/main" id="{C7BC991F-8403-ACD4-E153-7E8B9055BE4D}"/>
            </a:ext>
          </a:extLst>
        </xdr:cNvPr>
        <xdr:cNvGrpSpPr/>
      </xdr:nvGrpSpPr>
      <xdr:grpSpPr>
        <a:xfrm>
          <a:off x="2763553" y="491895"/>
          <a:ext cx="1535301" cy="576072"/>
          <a:chOff x="5276399" y="563627"/>
          <a:chExt cx="1543902" cy="589444"/>
        </a:xfrm>
      </xdr:grpSpPr>
      <xdr:sp macro="" textlink="">
        <xdr:nvSpPr>
          <xdr:cNvPr id="26" name="Rectangle: Rounded Corners 25">
            <a:extLst>
              <a:ext uri="{FF2B5EF4-FFF2-40B4-BE49-F238E27FC236}">
                <a16:creationId xmlns:a16="http://schemas.microsoft.com/office/drawing/2014/main" id="{B60B9BA9-7C8D-87F6-F9EB-C161B76DE49F}"/>
              </a:ext>
            </a:extLst>
          </xdr:cNvPr>
          <xdr:cNvSpPr/>
        </xdr:nvSpPr>
        <xdr:spPr>
          <a:xfrm>
            <a:off x="5276399" y="563627"/>
            <a:ext cx="1543902" cy="589444"/>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AE551577-8B4E-F7D2-7429-45C5784095DC}"/>
              </a:ext>
            </a:extLst>
          </xdr:cNvPr>
          <xdr:cNvSpPr txBox="1"/>
        </xdr:nvSpPr>
        <xdr:spPr>
          <a:xfrm>
            <a:off x="5439540" y="583066"/>
            <a:ext cx="1269010" cy="232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panose="020B0502040204020203" pitchFamily="34" charset="0"/>
                <a:cs typeface="Segoe UI" panose="020B0502040204020203" pitchFamily="34" charset="0"/>
              </a:rPr>
              <a:t>Units Sold</a:t>
            </a:r>
          </a:p>
        </xdr:txBody>
      </xdr:sp>
      <xdr:sp macro="" textlink="Pivots!C4">
        <xdr:nvSpPr>
          <xdr:cNvPr id="33" name="TextBox 32">
            <a:extLst>
              <a:ext uri="{FF2B5EF4-FFF2-40B4-BE49-F238E27FC236}">
                <a16:creationId xmlns:a16="http://schemas.microsoft.com/office/drawing/2014/main" id="{D8696B77-5E1A-4FAF-84CC-88AD6E2828FE}"/>
              </a:ext>
            </a:extLst>
          </xdr:cNvPr>
          <xdr:cNvSpPr txBox="1"/>
        </xdr:nvSpPr>
        <xdr:spPr>
          <a:xfrm>
            <a:off x="5288616" y="771525"/>
            <a:ext cx="1529603" cy="359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13C1D2-3B70-4D58-A1A4-F327AD9EDDB0}" type="TxLink">
              <a:rPr lang="en-US" sz="1600" b="1" i="0" u="none" strike="noStrike">
                <a:solidFill>
                  <a:schemeClr val="accent2">
                    <a:lumMod val="75000"/>
                  </a:schemeClr>
                </a:solidFill>
                <a:latin typeface="Segoe UI" panose="020B0502040204020203" pitchFamily="34" charset="0"/>
                <a:ea typeface="+mn-ea"/>
                <a:cs typeface="Segoe UI" panose="020B0502040204020203" pitchFamily="34" charset="0"/>
              </a:rPr>
              <a:pPr marL="0" indent="0" algn="ctr"/>
              <a:t> 1,090,565 </a:t>
            </a:fld>
            <a:endParaRPr lang="en-US" sz="1600" b="1" i="0" u="none" strike="noStrike">
              <a:solidFill>
                <a:schemeClr val="accent2">
                  <a:lumMod val="75000"/>
                </a:schemeClr>
              </a:solidFill>
              <a:latin typeface="Segoe UI" panose="020B0502040204020203" pitchFamily="34" charset="0"/>
              <a:ea typeface="+mn-ea"/>
              <a:cs typeface="Segoe UI" panose="020B0502040204020203" pitchFamily="34" charset="0"/>
            </a:endParaRPr>
          </a:p>
        </xdr:txBody>
      </xdr:sp>
    </xdr:grpSp>
    <xdr:clientData/>
  </xdr:twoCellAnchor>
  <xdr:twoCellAnchor>
    <xdr:from>
      <xdr:col>7</xdr:col>
      <xdr:colOff>282848</xdr:colOff>
      <xdr:row>2</xdr:row>
      <xdr:rowOff>124252</xdr:rowOff>
    </xdr:from>
    <xdr:to>
      <xdr:col>10</xdr:col>
      <xdr:colOff>41820</xdr:colOff>
      <xdr:row>5</xdr:row>
      <xdr:rowOff>128309</xdr:rowOff>
    </xdr:to>
    <xdr:grpSp>
      <xdr:nvGrpSpPr>
        <xdr:cNvPr id="42" name="Group 41">
          <a:extLst>
            <a:ext uri="{FF2B5EF4-FFF2-40B4-BE49-F238E27FC236}">
              <a16:creationId xmlns:a16="http://schemas.microsoft.com/office/drawing/2014/main" id="{570A51B9-51DE-8DA8-3471-EDBD89AB1D30}"/>
            </a:ext>
          </a:extLst>
        </xdr:cNvPr>
        <xdr:cNvGrpSpPr/>
      </xdr:nvGrpSpPr>
      <xdr:grpSpPr>
        <a:xfrm>
          <a:off x="4518672" y="505252"/>
          <a:ext cx="1574324" cy="575557"/>
          <a:chOff x="6579372" y="579758"/>
          <a:chExt cx="1573869" cy="583164"/>
        </a:xfrm>
      </xdr:grpSpPr>
      <xdr:sp macro="" textlink="">
        <xdr:nvSpPr>
          <xdr:cNvPr id="30" name="Rectangle: Rounded Corners 29">
            <a:extLst>
              <a:ext uri="{FF2B5EF4-FFF2-40B4-BE49-F238E27FC236}">
                <a16:creationId xmlns:a16="http://schemas.microsoft.com/office/drawing/2014/main" id="{7BE181D9-5944-66B6-3DFE-0B4F794E1B06}"/>
              </a:ext>
            </a:extLst>
          </xdr:cNvPr>
          <xdr:cNvSpPr/>
        </xdr:nvSpPr>
        <xdr:spPr>
          <a:xfrm>
            <a:off x="6579372" y="579758"/>
            <a:ext cx="1549813" cy="583164"/>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C09780A7-F17B-63E9-2C11-7BF8AB6A9428}"/>
              </a:ext>
            </a:extLst>
          </xdr:cNvPr>
          <xdr:cNvSpPr txBox="1"/>
        </xdr:nvSpPr>
        <xdr:spPr>
          <a:xfrm>
            <a:off x="6744483" y="599197"/>
            <a:ext cx="1272951" cy="230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panose="020B0502040204020203" pitchFamily="34" charset="0"/>
                <a:cs typeface="Segoe UI" panose="020B0502040204020203" pitchFamily="34" charset="0"/>
              </a:rPr>
              <a:t>Avg Margin</a:t>
            </a:r>
          </a:p>
        </xdr:txBody>
      </xdr:sp>
      <xdr:sp macro="" textlink="Pivots!D4">
        <xdr:nvSpPr>
          <xdr:cNvPr id="34" name="TextBox 33">
            <a:extLst>
              <a:ext uri="{FF2B5EF4-FFF2-40B4-BE49-F238E27FC236}">
                <a16:creationId xmlns:a16="http://schemas.microsoft.com/office/drawing/2014/main" id="{3C33A826-51A1-4FDF-B17E-DFCB9FC5167C}"/>
              </a:ext>
            </a:extLst>
          </xdr:cNvPr>
          <xdr:cNvSpPr txBox="1"/>
        </xdr:nvSpPr>
        <xdr:spPr>
          <a:xfrm>
            <a:off x="6613244" y="776037"/>
            <a:ext cx="1539997" cy="35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804EE972-A7D8-4AB3-80BB-F7AF5E5985E9}" type="TxLink">
              <a:rPr lang="en-US" sz="1600" b="1" i="0" u="none" strike="noStrike">
                <a:solidFill>
                  <a:schemeClr val="accent5">
                    <a:lumMod val="75000"/>
                  </a:schemeClr>
                </a:solidFill>
                <a:latin typeface="Segoe UI" panose="020B0502040204020203" pitchFamily="34" charset="0"/>
                <a:ea typeface="+mn-ea"/>
                <a:cs typeface="Segoe UI" panose="020B0502040204020203" pitchFamily="34" charset="0"/>
              </a:rPr>
              <a:pPr marL="0" indent="0" algn="ctr"/>
              <a:t>31.21%</a:t>
            </a:fld>
            <a:endParaRPr lang="en-US" sz="1600" b="1" i="0" u="none" strike="noStrike">
              <a:solidFill>
                <a:schemeClr val="accent5">
                  <a:lumMod val="75000"/>
                </a:schemeClr>
              </a:solidFill>
              <a:latin typeface="Segoe UI" panose="020B0502040204020203" pitchFamily="34" charset="0"/>
              <a:ea typeface="+mn-ea"/>
              <a:cs typeface="Segoe UI" panose="020B0502040204020203" pitchFamily="34" charset="0"/>
            </a:endParaRPr>
          </a:p>
        </xdr:txBody>
      </xdr:sp>
    </xdr:grpSp>
    <xdr:clientData/>
  </xdr:twoCellAnchor>
  <xdr:twoCellAnchor>
    <xdr:from>
      <xdr:col>1</xdr:col>
      <xdr:colOff>343741</xdr:colOff>
      <xdr:row>6</xdr:row>
      <xdr:rowOff>1</xdr:rowOff>
    </xdr:from>
    <xdr:to>
      <xdr:col>8</xdr:col>
      <xdr:colOff>168088</xdr:colOff>
      <xdr:row>15</xdr:row>
      <xdr:rowOff>155406</xdr:rowOff>
    </xdr:to>
    <xdr:graphicFrame macro="">
      <xdr:nvGraphicFramePr>
        <xdr:cNvPr id="36" name="Chart 35">
          <a:extLst>
            <a:ext uri="{FF2B5EF4-FFF2-40B4-BE49-F238E27FC236}">
              <a16:creationId xmlns:a16="http://schemas.microsoft.com/office/drawing/2014/main" id="{BDA97A77-4D58-4EB0-95DF-016945630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201706</xdr:colOff>
      <xdr:row>6</xdr:row>
      <xdr:rowOff>0</xdr:rowOff>
    </xdr:from>
    <xdr:to>
      <xdr:col>16</xdr:col>
      <xdr:colOff>201706</xdr:colOff>
      <xdr:row>15</xdr:row>
      <xdr:rowOff>160020</xdr:rowOff>
    </xdr:to>
    <xdr:graphicFrame macro="">
      <xdr:nvGraphicFramePr>
        <xdr:cNvPr id="3" name="Chart 2">
          <a:extLst>
            <a:ext uri="{FF2B5EF4-FFF2-40B4-BE49-F238E27FC236}">
              <a16:creationId xmlns:a16="http://schemas.microsoft.com/office/drawing/2014/main" id="{99E52358-B0C3-442E-B41E-D61FE1295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334697</xdr:colOff>
      <xdr:row>16</xdr:row>
      <xdr:rowOff>2957</xdr:rowOff>
    </xdr:from>
    <xdr:to>
      <xdr:col>5</xdr:col>
      <xdr:colOff>571500</xdr:colOff>
      <xdr:row>25</xdr:row>
      <xdr:rowOff>78441</xdr:rowOff>
    </xdr:to>
    <xdr:graphicFrame macro="">
      <xdr:nvGraphicFramePr>
        <xdr:cNvPr id="7" name="Chart 6">
          <a:extLst>
            <a:ext uri="{FF2B5EF4-FFF2-40B4-BE49-F238E27FC236}">
              <a16:creationId xmlns:a16="http://schemas.microsoft.com/office/drawing/2014/main" id="{EF42B356-CDF3-4393-AD5D-111E0BAB4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16</xdr:row>
      <xdr:rowOff>0</xdr:rowOff>
    </xdr:from>
    <xdr:to>
      <xdr:col>10</xdr:col>
      <xdr:colOff>257489</xdr:colOff>
      <xdr:row>25</xdr:row>
      <xdr:rowOff>78440</xdr:rowOff>
    </xdr:to>
    <xdr:graphicFrame macro="">
      <xdr:nvGraphicFramePr>
        <xdr:cNvPr id="8" name="Chart 7">
          <a:extLst>
            <a:ext uri="{FF2B5EF4-FFF2-40B4-BE49-F238E27FC236}">
              <a16:creationId xmlns:a16="http://schemas.microsoft.com/office/drawing/2014/main" id="{8C6609C2-0EBB-4534-93ED-0D7F517D9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313763</xdr:colOff>
      <xdr:row>25</xdr:row>
      <xdr:rowOff>97162</xdr:rowOff>
    </xdr:from>
    <xdr:to>
      <xdr:col>5</xdr:col>
      <xdr:colOff>563341</xdr:colOff>
      <xdr:row>34</xdr:row>
      <xdr:rowOff>168088</xdr:rowOff>
    </xdr:to>
    <xdr:graphicFrame macro="">
      <xdr:nvGraphicFramePr>
        <xdr:cNvPr id="14" name="Chart 13">
          <a:extLst>
            <a:ext uri="{FF2B5EF4-FFF2-40B4-BE49-F238E27FC236}">
              <a16:creationId xmlns:a16="http://schemas.microsoft.com/office/drawing/2014/main" id="{44D2B853-97B3-4F06-86E4-0E9AB2CD1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156882</xdr:colOff>
      <xdr:row>4</xdr:row>
      <xdr:rowOff>32919</xdr:rowOff>
    </xdr:from>
    <xdr:to>
      <xdr:col>16</xdr:col>
      <xdr:colOff>533400</xdr:colOff>
      <xdr:row>6</xdr:row>
      <xdr:rowOff>11360</xdr:rowOff>
    </xdr:to>
    <xdr:sp macro="" textlink="Pivots!F13">
      <xdr:nvSpPr>
        <xdr:cNvPr id="18" name="TextBox 17">
          <a:extLst>
            <a:ext uri="{FF2B5EF4-FFF2-40B4-BE49-F238E27FC236}">
              <a16:creationId xmlns:a16="http://schemas.microsoft.com/office/drawing/2014/main" id="{DC1ACB58-D7D1-7631-E855-16DE9D7B07BC}"/>
            </a:ext>
          </a:extLst>
        </xdr:cNvPr>
        <xdr:cNvSpPr txBox="1"/>
      </xdr:nvSpPr>
      <xdr:spPr>
        <a:xfrm>
          <a:off x="8656113" y="786545"/>
          <a:ext cx="1590694" cy="355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427F943-9F84-494E-999F-6D83ADCF6446}" type="TxLink">
            <a:rPr lang="en-US" sz="1600" b="1" i="0" u="none" strike="noStrike">
              <a:solidFill>
                <a:schemeClr val="tx2">
                  <a:lumMod val="90000"/>
                  <a:lumOff val="10000"/>
                </a:schemeClr>
              </a:solidFill>
              <a:latin typeface="Segoe UI" panose="020B0502040204020203" pitchFamily="34" charset="0"/>
              <a:ea typeface="+mn-ea"/>
              <a:cs typeface="Segoe UI" panose="020B0502040204020203" pitchFamily="34" charset="0"/>
            </a:rPr>
            <a:pPr marL="0" indent="0" algn="ctr"/>
            <a:t> </a:t>
          </a:fld>
          <a:endParaRPr lang="en-US" sz="1600" b="1">
            <a:solidFill>
              <a:schemeClr val="tx2">
                <a:lumMod val="90000"/>
                <a:lumOff val="10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10</xdr:col>
      <xdr:colOff>261638</xdr:colOff>
      <xdr:row>2</xdr:row>
      <xdr:rowOff>115938</xdr:rowOff>
    </xdr:from>
    <xdr:to>
      <xdr:col>13</xdr:col>
      <xdr:colOff>280765</xdr:colOff>
      <xdr:row>5</xdr:row>
      <xdr:rowOff>121849</xdr:rowOff>
    </xdr:to>
    <xdr:grpSp>
      <xdr:nvGrpSpPr>
        <xdr:cNvPr id="44" name="Group 43">
          <a:extLst>
            <a:ext uri="{FF2B5EF4-FFF2-40B4-BE49-F238E27FC236}">
              <a16:creationId xmlns:a16="http://schemas.microsoft.com/office/drawing/2014/main" id="{9A6166BB-D81F-8358-0E9D-040C2DC6CB05}"/>
            </a:ext>
          </a:extLst>
        </xdr:cNvPr>
        <xdr:cNvGrpSpPr/>
      </xdr:nvGrpSpPr>
      <xdr:grpSpPr>
        <a:xfrm>
          <a:off x="6312814" y="496938"/>
          <a:ext cx="1834480" cy="577411"/>
          <a:chOff x="8514033" y="587631"/>
          <a:chExt cx="1885562" cy="583163"/>
        </a:xfrm>
      </xdr:grpSpPr>
      <xdr:sp macro="" textlink="">
        <xdr:nvSpPr>
          <xdr:cNvPr id="16" name="Rectangle: Rounded Corners 15">
            <a:extLst>
              <a:ext uri="{FF2B5EF4-FFF2-40B4-BE49-F238E27FC236}">
                <a16:creationId xmlns:a16="http://schemas.microsoft.com/office/drawing/2014/main" id="{6E71326D-4E49-2340-C087-6B8DCB1E9E64}"/>
              </a:ext>
            </a:extLst>
          </xdr:cNvPr>
          <xdr:cNvSpPr/>
        </xdr:nvSpPr>
        <xdr:spPr>
          <a:xfrm>
            <a:off x="8684504" y="587631"/>
            <a:ext cx="1547737" cy="58316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FFB95A5D-DAD5-10DE-0A4C-04FC2112A799}"/>
              </a:ext>
            </a:extLst>
          </xdr:cNvPr>
          <xdr:cNvSpPr txBox="1"/>
        </xdr:nvSpPr>
        <xdr:spPr>
          <a:xfrm>
            <a:off x="8514033" y="606864"/>
            <a:ext cx="1885562" cy="213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panose="020B0502040204020203" pitchFamily="34" charset="0"/>
                <a:cs typeface="Segoe UI" panose="020B0502040204020203" pitchFamily="34" charset="0"/>
              </a:rPr>
              <a:t>Average</a:t>
            </a:r>
            <a:r>
              <a:rPr lang="en-US" sz="1200" b="0" baseline="0">
                <a:latin typeface="Segoe UI" panose="020B0502040204020203" pitchFamily="34" charset="0"/>
                <a:cs typeface="Segoe UI" panose="020B0502040204020203" pitchFamily="34" charset="0"/>
              </a:rPr>
              <a:t> Order Value</a:t>
            </a:r>
            <a:endParaRPr lang="en-US" sz="1200" b="0">
              <a:latin typeface="Segoe UI" panose="020B0502040204020203" pitchFamily="34" charset="0"/>
              <a:cs typeface="Segoe UI" panose="020B0502040204020203" pitchFamily="34" charset="0"/>
            </a:endParaRPr>
          </a:p>
        </xdr:txBody>
      </xdr:sp>
      <xdr:sp macro="" textlink="Pivots!F4">
        <xdr:nvSpPr>
          <xdr:cNvPr id="39" name="TextBox 38">
            <a:extLst>
              <a:ext uri="{FF2B5EF4-FFF2-40B4-BE49-F238E27FC236}">
                <a16:creationId xmlns:a16="http://schemas.microsoft.com/office/drawing/2014/main" id="{CB485C15-E289-4FF8-BBDD-C1C21B22936A}"/>
              </a:ext>
            </a:extLst>
          </xdr:cNvPr>
          <xdr:cNvSpPr txBox="1"/>
        </xdr:nvSpPr>
        <xdr:spPr>
          <a:xfrm>
            <a:off x="8602797" y="787243"/>
            <a:ext cx="1658579" cy="35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8A351CBE-EBBE-4CD4-B5D9-6669CBF2036B}" type="TxLink">
              <a:rPr lang="en-US" sz="1600" b="1" i="0" u="none" strike="noStrike">
                <a:solidFill>
                  <a:schemeClr val="accent5">
                    <a:lumMod val="75000"/>
                  </a:schemeClr>
                </a:solidFill>
                <a:latin typeface="Segoe UI" panose="020B0502040204020203" pitchFamily="34" charset="0"/>
                <a:ea typeface="+mn-ea"/>
                <a:cs typeface="Segoe UI" panose="020B0502040204020203" pitchFamily="34" charset="0"/>
              </a:rPr>
              <a:pPr marL="0" indent="0" algn="ctr"/>
              <a:t> $17.42 </a:t>
            </a:fld>
            <a:endParaRPr lang="en-US" sz="1600" b="1" i="0" u="none" strike="noStrike">
              <a:solidFill>
                <a:schemeClr val="accent5">
                  <a:lumMod val="75000"/>
                </a:schemeClr>
              </a:solidFill>
              <a:latin typeface="Segoe UI" panose="020B0502040204020203" pitchFamily="34" charset="0"/>
              <a:ea typeface="+mn-ea"/>
              <a:cs typeface="Segoe UI" panose="020B0502040204020203" pitchFamily="34" charset="0"/>
            </a:endParaRPr>
          </a:p>
        </xdr:txBody>
      </xdr:sp>
    </xdr:grpSp>
    <xdr:clientData/>
  </xdr:twoCellAnchor>
  <xdr:twoCellAnchor>
    <xdr:from>
      <xdr:col>10</xdr:col>
      <xdr:colOff>279409</xdr:colOff>
      <xdr:row>15</xdr:row>
      <xdr:rowOff>183115</xdr:rowOff>
    </xdr:from>
    <xdr:to>
      <xdr:col>16</xdr:col>
      <xdr:colOff>212912</xdr:colOff>
      <xdr:row>25</xdr:row>
      <xdr:rowOff>78441</xdr:rowOff>
    </xdr:to>
    <xdr:graphicFrame macro="">
      <xdr:nvGraphicFramePr>
        <xdr:cNvPr id="41" name="Chart 40">
          <a:extLst>
            <a:ext uri="{FF2B5EF4-FFF2-40B4-BE49-F238E27FC236}">
              <a16:creationId xmlns:a16="http://schemas.microsoft.com/office/drawing/2014/main" id="{9C89BD1C-D239-4573-807C-02C2992A7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11206</xdr:colOff>
      <xdr:row>25</xdr:row>
      <xdr:rowOff>123265</xdr:rowOff>
    </xdr:from>
    <xdr:to>
      <xdr:col>11</xdr:col>
      <xdr:colOff>358588</xdr:colOff>
      <xdr:row>35</xdr:row>
      <xdr:rowOff>0</xdr:rowOff>
    </xdr:to>
    <xdr:graphicFrame macro="">
      <xdr:nvGraphicFramePr>
        <xdr:cNvPr id="45" name="Chart 44">
          <a:extLst>
            <a:ext uri="{FF2B5EF4-FFF2-40B4-BE49-F238E27FC236}">
              <a16:creationId xmlns:a16="http://schemas.microsoft.com/office/drawing/2014/main" id="{9DBAF823-2ABF-409C-90DE-E491940A1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392207</xdr:colOff>
      <xdr:row>25</xdr:row>
      <xdr:rowOff>112060</xdr:rowOff>
    </xdr:from>
    <xdr:to>
      <xdr:col>16</xdr:col>
      <xdr:colOff>212912</xdr:colOff>
      <xdr:row>35</xdr:row>
      <xdr:rowOff>0</xdr:rowOff>
    </xdr:to>
    <xdr:graphicFrame macro="">
      <xdr:nvGraphicFramePr>
        <xdr:cNvPr id="46" name="Chart 45">
          <a:extLst>
            <a:ext uri="{FF2B5EF4-FFF2-40B4-BE49-F238E27FC236}">
              <a16:creationId xmlns:a16="http://schemas.microsoft.com/office/drawing/2014/main" id="{2855F135-8F3A-453C-850F-C002197ED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302559</xdr:colOff>
      <xdr:row>6</xdr:row>
      <xdr:rowOff>0</xdr:rowOff>
    </xdr:from>
    <xdr:to>
      <xdr:col>19</xdr:col>
      <xdr:colOff>414618</xdr:colOff>
      <xdr:row>12</xdr:row>
      <xdr:rowOff>11206</xdr:rowOff>
    </xdr:to>
    <xdr:grpSp>
      <xdr:nvGrpSpPr>
        <xdr:cNvPr id="9" name="Group 8">
          <a:extLst>
            <a:ext uri="{FF2B5EF4-FFF2-40B4-BE49-F238E27FC236}">
              <a16:creationId xmlns:a16="http://schemas.microsoft.com/office/drawing/2014/main" id="{7CFD09BC-7238-7CA2-B45E-F9130C5BBDC5}"/>
            </a:ext>
          </a:extLst>
        </xdr:cNvPr>
        <xdr:cNvGrpSpPr/>
      </xdr:nvGrpSpPr>
      <xdr:grpSpPr>
        <a:xfrm>
          <a:off x="9984441" y="1143000"/>
          <a:ext cx="1927412" cy="1154206"/>
          <a:chOff x="10443882" y="1479176"/>
          <a:chExt cx="1860177" cy="1154206"/>
        </a:xfrm>
      </xdr:grpSpPr>
      <xdr:sp macro="" textlink="">
        <xdr:nvSpPr>
          <xdr:cNvPr id="2" name="Rectangle: Rounded Corners 1">
            <a:extLst>
              <a:ext uri="{FF2B5EF4-FFF2-40B4-BE49-F238E27FC236}">
                <a16:creationId xmlns:a16="http://schemas.microsoft.com/office/drawing/2014/main" id="{945D74D5-7EAF-6CF4-3905-7F340BF05C75}"/>
              </a:ext>
            </a:extLst>
          </xdr:cNvPr>
          <xdr:cNvSpPr/>
        </xdr:nvSpPr>
        <xdr:spPr>
          <a:xfrm>
            <a:off x="10443882" y="1479176"/>
            <a:ext cx="1860177" cy="1154206"/>
          </a:xfrm>
          <a:prstGeom prst="round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7" name="sale_year 1">
                <a:extLst>
                  <a:ext uri="{FF2B5EF4-FFF2-40B4-BE49-F238E27FC236}">
                    <a16:creationId xmlns:a16="http://schemas.microsoft.com/office/drawing/2014/main" id="{B7C7D167-B2DD-40F2-948D-22D61E126C49}"/>
                  </a:ext>
                </a:extLst>
              </xdr:cNvPr>
              <xdr:cNvGraphicFramePr/>
            </xdr:nvGraphicFramePr>
            <xdr:xfrm>
              <a:off x="10499912" y="1591235"/>
              <a:ext cx="1781734" cy="963706"/>
            </xdr:xfrm>
            <a:graphic>
              <a:graphicData uri="http://schemas.microsoft.com/office/drawing/2010/slicer">
                <sle:slicer xmlns:sle="http://schemas.microsoft.com/office/drawing/2010/slicer" name="sale_year 1"/>
              </a:graphicData>
            </a:graphic>
          </xdr:graphicFrame>
        </mc:Choice>
        <mc:Fallback>
          <xdr:sp macro="" textlink="">
            <xdr:nvSpPr>
              <xdr:cNvPr id="0" name=""/>
              <xdr:cNvSpPr>
                <a:spLocks noTextEdit="1"/>
              </xdr:cNvSpPr>
            </xdr:nvSpPr>
            <xdr:spPr>
              <a:xfrm>
                <a:off x="10042496" y="1255059"/>
                <a:ext cx="1846134" cy="963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16</xdr:col>
      <xdr:colOff>324970</xdr:colOff>
      <xdr:row>13</xdr:row>
      <xdr:rowOff>16809</xdr:rowOff>
    </xdr:from>
    <xdr:to>
      <xdr:col>19</xdr:col>
      <xdr:colOff>439001</xdr:colOff>
      <xdr:row>22</xdr:row>
      <xdr:rowOff>151280</xdr:rowOff>
    </xdr:to>
    <xdr:grpSp>
      <xdr:nvGrpSpPr>
        <xdr:cNvPr id="15" name="Group 14">
          <a:extLst>
            <a:ext uri="{FF2B5EF4-FFF2-40B4-BE49-F238E27FC236}">
              <a16:creationId xmlns:a16="http://schemas.microsoft.com/office/drawing/2014/main" id="{5A144F5C-69F2-880E-58FB-8A32727D2CBB}"/>
            </a:ext>
          </a:extLst>
        </xdr:cNvPr>
        <xdr:cNvGrpSpPr/>
      </xdr:nvGrpSpPr>
      <xdr:grpSpPr>
        <a:xfrm>
          <a:off x="10006852" y="2493309"/>
          <a:ext cx="1929384" cy="1848971"/>
          <a:chOff x="10432676" y="2947147"/>
          <a:chExt cx="1938618" cy="1848971"/>
        </a:xfrm>
      </xdr:grpSpPr>
      <xdr:sp macro="" textlink="">
        <xdr:nvSpPr>
          <xdr:cNvPr id="10" name="Rectangle: Rounded Corners 9">
            <a:extLst>
              <a:ext uri="{FF2B5EF4-FFF2-40B4-BE49-F238E27FC236}">
                <a16:creationId xmlns:a16="http://schemas.microsoft.com/office/drawing/2014/main" id="{2083519D-468D-D0AB-0793-8F4EBE42BA41}"/>
              </a:ext>
            </a:extLst>
          </xdr:cNvPr>
          <xdr:cNvSpPr/>
        </xdr:nvSpPr>
        <xdr:spPr>
          <a:xfrm>
            <a:off x="10432676" y="2947147"/>
            <a:ext cx="1938618" cy="1848971"/>
          </a:xfrm>
          <a:prstGeom prst="round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8" name="Store Location">
                <a:extLst>
                  <a:ext uri="{FF2B5EF4-FFF2-40B4-BE49-F238E27FC236}">
                    <a16:creationId xmlns:a16="http://schemas.microsoft.com/office/drawing/2014/main" id="{B5A693EB-C0FD-415D-AC79-F8BA625CACDB}"/>
                  </a:ext>
                </a:extLst>
              </xdr:cNvPr>
              <xdr:cNvGraphicFramePr/>
            </xdr:nvGraphicFramePr>
            <xdr:xfrm>
              <a:off x="10488706" y="3092823"/>
              <a:ext cx="1848970" cy="1576133"/>
            </xdr:xfrm>
            <a:graphic>
              <a:graphicData uri="http://schemas.microsoft.com/office/drawing/2010/slicer">
                <sle:slicer xmlns:sle="http://schemas.microsoft.com/office/drawing/2010/slicer" name="Store Location"/>
              </a:graphicData>
            </a:graphic>
          </xdr:graphicFrame>
        </mc:Choice>
        <mc:Fallback>
          <xdr:sp macro="" textlink="">
            <xdr:nvSpPr>
              <xdr:cNvPr id="0" name=""/>
              <xdr:cNvSpPr>
                <a:spLocks noTextEdit="1"/>
              </xdr:cNvSpPr>
            </xdr:nvSpPr>
            <xdr:spPr>
              <a:xfrm>
                <a:off x="10062615" y="2638985"/>
                <a:ext cx="1840163" cy="1576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16</xdr:col>
      <xdr:colOff>347383</xdr:colOff>
      <xdr:row>23</xdr:row>
      <xdr:rowOff>156882</xdr:rowOff>
    </xdr:from>
    <xdr:to>
      <xdr:col>19</xdr:col>
      <xdr:colOff>461414</xdr:colOff>
      <xdr:row>35</xdr:row>
      <xdr:rowOff>11206</xdr:rowOff>
    </xdr:to>
    <xdr:grpSp>
      <xdr:nvGrpSpPr>
        <xdr:cNvPr id="23" name="Group 22">
          <a:extLst>
            <a:ext uri="{FF2B5EF4-FFF2-40B4-BE49-F238E27FC236}">
              <a16:creationId xmlns:a16="http://schemas.microsoft.com/office/drawing/2014/main" id="{ED149F64-683F-A083-D9AA-C50869816BDB}"/>
            </a:ext>
          </a:extLst>
        </xdr:cNvPr>
        <xdr:cNvGrpSpPr/>
      </xdr:nvGrpSpPr>
      <xdr:grpSpPr>
        <a:xfrm>
          <a:off x="10029265" y="4538382"/>
          <a:ext cx="1929384" cy="2140324"/>
          <a:chOff x="10455088" y="4829736"/>
          <a:chExt cx="1916206" cy="2140324"/>
        </a:xfrm>
      </xdr:grpSpPr>
      <xdr:sp macro="" textlink="">
        <xdr:nvSpPr>
          <xdr:cNvPr id="22" name="Rectangle: Rounded Corners 21">
            <a:extLst>
              <a:ext uri="{FF2B5EF4-FFF2-40B4-BE49-F238E27FC236}">
                <a16:creationId xmlns:a16="http://schemas.microsoft.com/office/drawing/2014/main" id="{BD647913-8DF6-5147-8B74-B27A53F34471}"/>
              </a:ext>
            </a:extLst>
          </xdr:cNvPr>
          <xdr:cNvSpPr/>
        </xdr:nvSpPr>
        <xdr:spPr>
          <a:xfrm>
            <a:off x="10455088" y="4829736"/>
            <a:ext cx="1916206" cy="2140324"/>
          </a:xfrm>
          <a:prstGeom prst="round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9" name="Product Category">
                <a:extLst>
                  <a:ext uri="{FF2B5EF4-FFF2-40B4-BE49-F238E27FC236}">
                    <a16:creationId xmlns:a16="http://schemas.microsoft.com/office/drawing/2014/main" id="{E4787608-37ED-4E66-8B7F-4A2867FFF790}"/>
                  </a:ext>
                </a:extLst>
              </xdr:cNvPr>
              <xdr:cNvGraphicFramePr/>
            </xdr:nvGraphicFramePr>
            <xdr:xfrm>
              <a:off x="10522323" y="4986617"/>
              <a:ext cx="1806387" cy="1837765"/>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096962" y="4695263"/>
                <a:ext cx="1818810" cy="1837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525649074072" createdVersion="8" refreshedVersion="8" minRefreshableVersion="3" recordCount="50" xr:uid="{74B6DC5D-1DB9-4B04-99D3-87B372DF3EF8}">
  <cacheSource type="worksheet">
    <worksheetSource name="tbl_store"/>
  </cacheSource>
  <cacheFields count="14">
    <cacheField name="Store_ID" numFmtId="0">
      <sharedItems containsSemiMixedTypes="0" containsString="0" containsNumber="1" containsInteger="1" minValue="1" maxValue="50"/>
    </cacheField>
    <cacheField name="Store_Name" numFmtId="0">
      <sharedItems count="50">
        <s v="Maven Toys Ciudad de Mexico 2"/>
        <s v="Maven Toys Guadalajara 3"/>
        <s v="Maven Toys Ciudad de Mexico 1"/>
        <s v="Maven Toys Toluca 1"/>
        <s v="Maven Toys Monterrey 2"/>
        <s v="Maven Toys Guadalajara 4"/>
        <s v="Maven Toys Hermosillo 3"/>
        <s v="Maven Toys Xalapa 2"/>
        <s v="Maven Toys Ciudad de Mexico 3"/>
        <s v="Maven Toys Saltillo 1"/>
        <s v="Maven Toys Monterrey 4"/>
        <s v="Maven Toys Ciudad de Mexico 4"/>
        <s v="Maven Toys Hermosillo 2"/>
        <s v="Maven Toys Guanajuato 1"/>
        <s v="Maven Toys Campeche 1"/>
        <s v="Maven Toys Ciudad Victoria 1"/>
        <s v="Maven Toys Mexicali 1"/>
        <s v="Maven Toys Mexicali 2"/>
        <s v="Maven Toys Monterrey 3"/>
        <s v="Maven Toys Puebla 2"/>
        <s v="Maven Toys Guanajuato 2"/>
        <s v="Maven Toys Monterrey 1"/>
        <s v="Maven Toys Santiago 1"/>
        <s v="Maven Toys Guanajuato 3"/>
        <s v="Maven Toys Morelia 1"/>
        <s v="Maven Toys Chihuahua 2"/>
        <s v="Maven Toys Puebla 3"/>
        <s v="Maven Toys Xalapa 1"/>
        <s v="Maven Toys San Luis Potosi 1"/>
        <s v="Maven Toys Guadalajara 2"/>
        <s v="Maven Toys Guadalajara 1"/>
        <s v="Maven Toys Chetumal 1"/>
        <s v="Maven Toys Puebla 1"/>
        <s v="Maven Toys Villahermosa 1"/>
        <s v="Maven Toys Culiacan 1"/>
        <s v="Maven Toys Saltillo 2"/>
        <s v="Maven Toys Chihuahua 1"/>
        <s v="Maven Toys Chilpancingo 1"/>
        <s v="Maven Toys Oaxaca 1"/>
        <s v="Maven Toys Aguascalientes 1"/>
        <s v="Maven Toys Pachuca 1"/>
        <s v="Maven Toys Hermosillo 1"/>
        <s v="Maven Toys Merida 1"/>
        <s v="Maven Toys Zacatecas 1"/>
        <s v="Maven Toys Tuxtla Gutierrez 1"/>
        <s v="Maven Toys Toluca 2"/>
        <s v="Maven Toys Durango 1"/>
        <s v="Maven Toys Cuernavaca 1"/>
        <s v="Maven Toys La Paz 1"/>
        <s v="Maven Toys Campeche 2"/>
      </sharedItems>
    </cacheField>
    <cacheField name="Store_Location" numFmtId="0">
      <sharedItems count="4">
        <s v="Airport"/>
        <s v="Downtown"/>
        <s v="Commercial"/>
        <s v="Residential"/>
      </sharedItems>
    </cacheField>
    <cacheField name="Store_City" numFmtId="0">
      <sharedItems/>
    </cacheField>
    <cacheField name="transaction_count" numFmtId="0">
      <sharedItems containsSemiMixedTypes="0" containsString="0" containsNumber="1" containsInteger="1" minValue="12776" maxValue="29024"/>
    </cacheField>
    <cacheField name="total_units_sold" numFmtId="0">
      <sharedItems containsSemiMixedTypes="0" containsString="0" containsNumber="1" containsInteger="1" minValue="15964" maxValue="42757"/>
    </cacheField>
    <cacheField name="total_revenue" numFmtId="0">
      <sharedItems containsSemiMixedTypes="0" containsString="0" containsNumber="1" minValue="206055.23" maxValue="554553.43000000005" count="50">
        <n v="554553.43000000005"/>
        <n v="449354.91"/>
        <n v="433556.21"/>
        <n v="411157.32"/>
        <n v="372998.82"/>
        <n v="348466.64"/>
        <n v="344846.64"/>
        <n v="344307.04"/>
        <n v="337424.66"/>
        <n v="330408.90000000002"/>
        <n v="325073.5"/>
        <n v="323957.71000000002"/>
        <n v="323427.02"/>
        <n v="313916.59999999998"/>
        <n v="311786.44"/>
        <n v="294803.99"/>
        <n v="294019.42"/>
        <n v="292156.43"/>
        <n v="285814.24"/>
        <n v="282616.87"/>
        <n v="278926.67"/>
        <n v="277959.14"/>
        <n v="277598.14"/>
        <n v="276212.56"/>
        <n v="273060.05"/>
        <n v="268704.74"/>
        <n v="267559.55"/>
        <n v="265812.73"/>
        <n v="263389.65000000002"/>
        <n v="262435.02"/>
        <n v="261842.89"/>
        <n v="258919.35"/>
        <n v="258533.87"/>
        <n v="258210.66"/>
        <n v="251160.91"/>
        <n v="249106.07"/>
        <n v="248008.3"/>
        <n v="242539.73"/>
        <n v="242154.36"/>
        <n v="239997.35"/>
        <n v="237676.15"/>
        <n v="235115.18"/>
        <n v="232097.72"/>
        <n v="229983.04"/>
        <n v="229698.27"/>
        <n v="222364.36"/>
        <n v="222318.78"/>
        <n v="221587.26"/>
        <n v="210897.83"/>
        <n v="206055.23"/>
      </sharedItems>
    </cacheField>
    <cacheField name="total_cogs" numFmtId="0">
      <sharedItems containsSemiMixedTypes="0" containsString="0" containsNumber="1" minValue="147964.23000000001" maxValue="384697.43"/>
    </cacheField>
    <cacheField name="total_gross_profit" numFmtId="0">
      <sharedItems containsSemiMixedTypes="0" containsString="0" containsNumber="1" containsInteger="1" minValue="56811" maxValue="169856"/>
    </cacheField>
    <cacheField name="avg_gross_margin_pct" numFmtId="0">
      <sharedItems containsSemiMixedTypes="0" containsString="0" containsNumber="1" minValue="28.35" maxValue="34.21"/>
    </cacheField>
    <cacheField name="pct_of_total_revenue" numFmtId="0">
      <sharedItems containsSemiMixedTypes="0" containsString="0" containsNumber="1" minValue="1.43" maxValue="3.84"/>
    </cacheField>
    <cacheField name="revenue_rank" numFmtId="0">
      <sharedItems containsSemiMixedTypes="0" containsString="0" containsNumber="1" containsInteger="1" minValue="1" maxValue="50"/>
    </cacheField>
    <cacheField name="gross_profit_rank" numFmtId="0">
      <sharedItems containsSemiMixedTypes="0" containsString="0" containsNumber="1" containsInteger="1" minValue="1" maxValue="50"/>
    </cacheField>
    <cacheField name="margin_rank" numFmtId="0">
      <sharedItems containsSemiMixedTypes="0" containsString="0" containsNumber="1" containsInteger="1" minValue="1" maxValue="50"/>
    </cacheField>
  </cacheFields>
  <extLst>
    <ext xmlns:x14="http://schemas.microsoft.com/office/spreadsheetml/2009/9/main" uri="{725AE2AE-9491-48be-B2B4-4EB974FC3084}">
      <x14:pivotCacheDefinition pivotCacheId="4578823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881941435182" createdVersion="8" refreshedVersion="8" minRefreshableVersion="3" recordCount="35" xr:uid="{A22EA8C2-4D09-4C76-B650-A8648FCA7CAE}">
  <cacheSource type="worksheet">
    <worksheetSource name="tbl_category"/>
  </cacheSource>
  <cacheFields count="11">
    <cacheField name="sale_year" numFmtId="0">
      <sharedItems containsSemiMixedTypes="0" containsString="0" containsNumber="1" containsInteger="1" minValue="2022" maxValue="2023"/>
    </cacheField>
    <cacheField name="sale_quarter" numFmtId="0">
      <sharedItems containsSemiMixedTypes="0" containsString="0" containsNumber="1" containsInteger="1" minValue="1" maxValue="4"/>
    </cacheField>
    <cacheField name="Product_Category" numFmtId="0">
      <sharedItems count="5">
        <s v="Toys"/>
        <s v="Electronics"/>
        <s v="Games"/>
        <s v="Sports &amp; Outdoors"/>
        <s v="Art &amp; Crafts"/>
      </sharedItems>
    </cacheField>
    <cacheField name="transaction_count" numFmtId="0">
      <sharedItems containsSemiMixedTypes="0" containsString="0" containsNumber="1" containsInteger="1" minValue="11713" maxValue="47350"/>
    </cacheField>
    <cacheField name="total_units_sold" numFmtId="0">
      <sharedItems containsSemiMixedTypes="0" containsString="0" containsNumber="1" containsInteger="1" minValue="13979" maxValue="73632"/>
    </cacheField>
    <cacheField name="total_revenue" numFmtId="0">
      <sharedItems containsSemiMixedTypes="0" containsString="0" containsNumber="1" minValue="120680.62" maxValue="842580.46"/>
    </cacheField>
    <cacheField name="total_cogs" numFmtId="0">
      <sharedItems containsSemiMixedTypes="0" containsString="0" containsNumber="1" minValue="85713.62" maxValue="667040.46"/>
    </cacheField>
    <cacheField name="total_gross_profit" numFmtId="0">
      <sharedItems containsSemiMixedTypes="0" containsString="0" containsNumber="1" containsInteger="1" minValue="34967" maxValue="199560"/>
    </cacheField>
    <cacheField name="avg_gross_margin_pct" numFmtId="0">
      <sharedItems containsSemiMixedTypes="0" containsString="0" containsNumber="1" minValue="19.66" maxValue="49.47"/>
    </cacheField>
    <cacheField name="pct_of_year_revenue" numFmtId="0">
      <sharedItems containsSemiMixedTypes="0" containsString="0" containsNumber="1" minValue="1.61" maxValue="11.75"/>
    </cacheField>
    <cacheField name="pct_of_gross_profit" numFmtId="0">
      <sharedItems containsSemiMixedTypes="0" containsString="0" containsNumber="1" minValue="1.6" maxValue="9.4"/>
    </cacheField>
  </cacheFields>
  <extLst>
    <ext xmlns:x14="http://schemas.microsoft.com/office/spreadsheetml/2009/9/main" uri="{725AE2AE-9491-48be-B2B4-4EB974FC3084}">
      <x14:pivotCacheDefinition pivotCacheId="21233843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915683564817" createdVersion="8" refreshedVersion="8" minRefreshableVersion="3" recordCount="1593" xr:uid="{96509DBA-078F-4E04-8231-2EEE293F4888}">
  <cacheSource type="worksheet">
    <worksheetSource name="tbl_inventory"/>
  </cacheSource>
  <cacheFields count="10">
    <cacheField name="store_id" numFmtId="0">
      <sharedItems containsSemiMixedTypes="0" containsString="0" containsNumber="1" containsInteger="1" minValue="1" maxValue="50"/>
    </cacheField>
    <cacheField name="store_name" numFmtId="0">
      <sharedItems/>
    </cacheField>
    <cacheField name="store_location" numFmtId="0">
      <sharedItems count="4">
        <s v="Residential"/>
        <s v="Commercial"/>
        <s v="Downtown"/>
        <s v="Airport"/>
      </sharedItems>
    </cacheField>
    <cacheField name="product_id" numFmtId="0">
      <sharedItems containsSemiMixedTypes="0" containsString="0" containsNumber="1" containsInteger="1" minValue="1" maxValue="35"/>
    </cacheField>
    <cacheField name="product_name" numFmtId="0">
      <sharedItems/>
    </cacheField>
    <cacheField name="product_category" numFmtId="0">
      <sharedItems count="5">
        <s v="Toys"/>
        <s v="Games"/>
        <s v="Electronics"/>
        <s v="Art &amp; Crafts"/>
        <s v="Sports &amp; Outdoors"/>
      </sharedItems>
    </cacheField>
    <cacheField name="stock_on_hand" numFmtId="0">
      <sharedItems containsSemiMixedTypes="0" containsString="0" containsNumber="1" containsInteger="1" minValue="0" maxValue="139"/>
    </cacheField>
    <cacheField name="total_units_sold" numFmtId="0">
      <sharedItems containsSemiMixedTypes="0" containsString="0" containsNumber="1" containsInteger="1" minValue="0" maxValue="5627"/>
    </cacheField>
    <cacheField name="estimated_days_of_stock_left" numFmtId="0">
      <sharedItems containsSemiMixedTypes="0" containsString="0" containsNumber="1" minValue="0" maxValue="9999"/>
    </cacheField>
    <cacheField name="stock_status" numFmtId="0">
      <sharedItems count="5">
        <s v="Stock Out"/>
        <s v="Dead Stock"/>
        <s v="Potential Stockout Risk"/>
        <s v="Adequate"/>
        <s v="Overstocked"/>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945294097219" createdVersion="8" refreshedVersion="8" minRefreshableVersion="3" recordCount="35" xr:uid="{6A6B7B66-A2BA-4362-A197-9E4A09A0C59B}">
  <cacheSource type="worksheet">
    <worksheetSource name="tbl_product"/>
  </cacheSource>
  <cacheFields count="15">
    <cacheField name="Product_Category" numFmtId="0">
      <sharedItems/>
    </cacheField>
    <cacheField name="Product_ID" numFmtId="0">
      <sharedItems containsSemiMixedTypes="0" containsString="0" containsNumber="1" containsInteger="1" minValue="1" maxValue="35"/>
    </cacheField>
    <cacheField name="Product_Name" numFmtId="0">
      <sharedItems count="35">
        <s v="Lego Bricks"/>
        <s v="Colorbuds"/>
        <s v="Magic Sand"/>
        <s v="Action Figure"/>
        <s v="Rubik's Cube"/>
        <s v="Deck Of Cards"/>
        <s v="Splash Balls"/>
        <s v="Nerf Gun"/>
        <s v="Animal Figures"/>
        <s v="Dart Gun"/>
        <s v="Kids Makeup Kit"/>
        <s v="Dinosaur Figures"/>
        <s v="Dino Egg"/>
        <s v="Glass Marbles"/>
        <s v="Gamer Headphones"/>
        <s v="Barrel O' Slime"/>
        <s v="Mini Ping Pong Set"/>
        <s v="PlayDoh Can"/>
        <s v="Toy Robot"/>
        <s v="Etch A Sketch"/>
        <s v="PlayDoh Playset"/>
        <s v="Hot Wheels 5-Pack"/>
        <s v="Jenga"/>
        <s v="PlayDoh Toolkit"/>
        <s v="Plush Pony"/>
        <s v="Supersoaker Water Gun"/>
        <s v="Foam Disk Launcher"/>
        <s v="Mr. Potatohead"/>
        <s v="Teddy Bear"/>
        <s v="Monopoly"/>
        <s v="Mini Basketball Hoop"/>
        <s v="Chutes &amp; Ladders"/>
        <s v="Playfoam"/>
        <s v="Classic Dominoes"/>
        <s v="Uno Card Game"/>
      </sharedItems>
    </cacheField>
    <cacheField name="transaction_count" numFmtId="0">
      <sharedItems containsSemiMixedTypes="0" containsString="0" containsNumber="1" containsInteger="1" minValue="2582" maxValue="72988"/>
    </cacheField>
    <cacheField name="total_units_sold" numFmtId="0">
      <sharedItems containsSemiMixedTypes="0" containsString="0" containsNumber="1" containsInteger="1" minValue="2647" maxValue="104368"/>
    </cacheField>
    <cacheField name="total_revenue" numFmtId="0">
      <sharedItems containsSemiMixedTypes="0" containsString="0" containsNumber="1" minValue="21652.9" maxValue="2388882.63"/>
    </cacheField>
    <cacheField name="total_gross_profit" numFmtId="0">
      <sharedItems containsSemiMixedTypes="0" containsString="0" containsNumber="1" containsInteger="1" minValue="8942" maxValue="834944"/>
    </cacheField>
    <cacheField name="avg_gross_margin_pct" numFmtId="0">
      <sharedItems containsSemiMixedTypes="0" containsString="0" containsNumber="1" minValue="9.09" maxValue="70.069999999999993"/>
    </cacheField>
    <cacheField name="pct_of_total_revenue" numFmtId="0">
      <sharedItems containsSemiMixedTypes="0" containsString="0" containsNumber="1" minValue="0.15" maxValue="16.54"/>
    </cacheField>
    <cacheField name="units_sold_rank" numFmtId="0">
      <sharedItems containsSemiMixedTypes="0" containsString="0" containsNumber="1" containsInteger="1" minValue="1" maxValue="35"/>
    </cacheField>
    <cacheField name="revenue_rank" numFmtId="0">
      <sharedItems containsSemiMixedTypes="0" containsString="0" containsNumber="1" containsInteger="1" minValue="1" maxValue="35"/>
    </cacheField>
    <cacheField name="gross_profit_rank" numFmtId="0">
      <sharedItems containsSemiMixedTypes="0" containsString="0" containsNumber="1" containsInteger="1" minValue="1" maxValue="35"/>
    </cacheField>
    <cacheField name="margin_rank" numFmtId="0">
      <sharedItems containsSemiMixedTypes="0" containsString="0" containsNumber="1" containsInteger="1" minValue="1" maxValue="35"/>
    </cacheField>
    <cacheField name="revenue_tile" numFmtId="0">
      <sharedItems containsSemiMixedTypes="0" containsString="0" containsNumber="1" containsInteger="1" minValue="1" maxValue="5"/>
    </cacheField>
    <cacheField name="performance_group"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959958796295" createdVersion="8" refreshedVersion="8" minRefreshableVersion="3" recordCount="420" xr:uid="{BFAF750D-255A-4F62-A8F5-BBCFFAFADEE8}">
  <cacheSource type="worksheet">
    <worksheetSource name="tbl_monthly"/>
  </cacheSource>
  <cacheFields count="14">
    <cacheField name="sale_year" numFmtId="0">
      <sharedItems containsSemiMixedTypes="0" containsString="0" containsNumber="1" containsInteger="1" minValue="2022" maxValue="2023" count="2">
        <n v="2022"/>
        <n v="2023"/>
      </sharedItems>
    </cacheField>
    <cacheField name="sale_month" numFmtId="0">
      <sharedItems containsSemiMixedTypes="0" containsString="0" containsNumber="1" containsInteger="1" minValue="1" maxValue="12"/>
    </cacheField>
    <cacheField name="month_name" numFmtId="0">
      <sharedItems count="12">
        <s v="January"/>
        <s v="February"/>
        <s v="March"/>
        <s v="April"/>
        <s v="May"/>
        <s v="June"/>
        <s v="July"/>
        <s v="August"/>
        <s v="September"/>
        <s v="October"/>
        <s v="November"/>
        <s v="December"/>
      </sharedItems>
    </cacheField>
    <cacheField name="refined_month" numFmtId="0">
      <sharedItems count="12">
        <s v="Jan"/>
        <s v="Feb"/>
        <s v="Mar"/>
        <s v="Apr"/>
        <s v="May"/>
        <s v="Jun"/>
        <s v="Jul"/>
        <s v="Aug"/>
        <s v="Sep"/>
        <s v="Oct"/>
        <s v="Nov"/>
        <s v="Dec"/>
      </sharedItems>
    </cacheField>
    <cacheField name="sale_quarter" numFmtId="0">
      <sharedItems containsSemiMixedTypes="0" containsString="0" containsNumber="1" containsInteger="1" minValue="1" maxValue="4"/>
    </cacheField>
    <cacheField name="product_category" numFmtId="0">
      <sharedItems/>
    </cacheField>
    <cacheField name="store_location" numFmtId="0">
      <sharedItems/>
    </cacheField>
    <cacheField name="transaction_count" numFmtId="0">
      <sharedItems containsSemiMixedTypes="0" containsString="0" containsNumber="1" containsInteger="1" minValue="206" maxValue="9665"/>
    </cacheField>
    <cacheField name="total_units_sold" numFmtId="0">
      <sharedItems containsSemiMixedTypes="0" containsString="0" containsNumber="1" containsInteger="1" minValue="294" maxValue="15214"/>
    </cacheField>
    <cacheField name="total_revenue" numFmtId="0">
      <sharedItems containsSemiMixedTypes="0" containsString="0" containsNumber="1" minValue="1751" maxValue="171494.46"/>
    </cacheField>
    <cacheField name="total_cogs" numFmtId="0">
      <sharedItems containsSemiMixedTypes="0" containsString="0" containsNumber="1" minValue="1291" maxValue="136646.46"/>
    </cacheField>
    <cacheField name="total_gross_profit" numFmtId="0">
      <sharedItems containsSemiMixedTypes="0" containsString="0" containsNumber="1" containsInteger="1" minValue="460" maxValue="37961"/>
    </cacheField>
    <cacheField name="avg_gross_margin_pct" numFmtId="0">
      <sharedItems containsSemiMixedTypes="0" containsString="0" containsNumber="1" minValue="16.350000000000001" maxValue="53.36"/>
    </cacheField>
    <cacheField name="revenue_growth_MoM" numFmtId="0">
      <sharedItems/>
    </cacheField>
  </cacheFields>
  <extLst>
    <ext xmlns:x14="http://schemas.microsoft.com/office/spreadsheetml/2009/9/main" uri="{725AE2AE-9491-48be-B2B4-4EB974FC3084}">
      <x14:pivotCacheDefinition pivotCacheId="278169148"/>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966690972222" createdVersion="8" refreshedVersion="8" minRefreshableVersion="3" recordCount="14" xr:uid="{72C1049A-DA37-4311-A3A9-9F109254E6E4}">
  <cacheSource type="worksheet">
    <worksheetSource name="tbl_weekday"/>
  </cacheSource>
  <cacheFields count="10">
    <cacheField name="sale_year" numFmtId="0">
      <sharedItems containsSemiMixedTypes="0" containsString="0" containsNumber="1" containsInteger="1" minValue="2022" maxValue="2023"/>
    </cacheField>
    <cacheField name="day_name" numFmtId="0">
      <sharedItems count="7">
        <s v="Sunday"/>
        <s v="Monday"/>
        <s v="Tuesday"/>
        <s v="Wednesday"/>
        <s v="Thursday"/>
        <s v="Friday"/>
        <s v="Saturday"/>
      </sharedItems>
    </cacheField>
    <cacheField name="refined_name" numFmtId="0">
      <sharedItems count="7">
        <s v="Sun"/>
        <s v="Mon"/>
        <s v="Tue"/>
        <s v="Wed"/>
        <s v="Thu"/>
        <s v="Fri"/>
        <s v="Sat"/>
      </sharedItems>
    </cacheField>
    <cacheField name="day_number" numFmtId="0">
      <sharedItems containsSemiMixedTypes="0" containsString="0" containsNumber="1" containsInteger="1" minValue="1" maxValue="7"/>
    </cacheField>
    <cacheField name="day_type" numFmtId="0">
      <sharedItems/>
    </cacheField>
    <cacheField name="total_revenue" numFmtId="0">
      <sharedItems containsSemiMixedTypes="0" containsString="0" containsNumber="1" minValue="747714.83" maxValue="1465395.47"/>
    </cacheField>
    <cacheField name="total_gross_profit" numFmtId="0">
      <sharedItems containsSemiMixedTypes="0" containsString="0" containsNumber="1" containsInteger="1" minValue="198614" maxValue="412986"/>
    </cacheField>
    <cacheField name="avg_gross_margin_pct" numFmtId="0">
      <sharedItems containsSemiMixedTypes="0" containsString="0" containsNumber="1" minValue="30.08" maxValue="33.159999999999997"/>
    </cacheField>
    <cacheField name="pct_of_total_revenue" numFmtId="0">
      <sharedItems containsSemiMixedTypes="0" containsString="0" containsNumber="1" minValue="10.47" maxValue="20.03"/>
    </cacheField>
    <cacheField name="avg_transaction_value" numFmtId="0">
      <sharedItems containsSemiMixedTypes="0" containsString="0" containsNumber="1" minValue="16.489999999999998" maxValue="18.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31"/>
    <x v="0"/>
    <x v="0"/>
    <s v="Cuidad de Mexico"/>
    <n v="29024"/>
    <n v="42757"/>
    <x v="0"/>
    <n v="384697.43"/>
    <n v="169856"/>
    <n v="33.020000000000003"/>
    <n v="3.84"/>
    <n v="1"/>
    <n v="1"/>
    <n v="5"/>
  </r>
  <r>
    <n v="30"/>
    <x v="1"/>
    <x v="0"/>
    <s v="Guadalajara"/>
    <n v="23384"/>
    <n v="31609"/>
    <x v="1"/>
    <n v="327783.90999999997"/>
    <n v="121571"/>
    <n v="29.95"/>
    <n v="3.11"/>
    <n v="2"/>
    <n v="2"/>
    <n v="42"/>
  </r>
  <r>
    <n v="9"/>
    <x v="2"/>
    <x v="1"/>
    <s v="Cuidad de Mexico"/>
    <n v="24482"/>
    <n v="33479"/>
    <x v="2"/>
    <n v="322260.21000000002"/>
    <n v="111296"/>
    <n v="29.93"/>
    <n v="3"/>
    <n v="3"/>
    <n v="3"/>
    <n v="43"/>
  </r>
  <r>
    <n v="17"/>
    <x v="3"/>
    <x v="1"/>
    <s v="Toluca"/>
    <n v="23533"/>
    <n v="32668"/>
    <x v="3"/>
    <n v="306545.32"/>
    <n v="104612"/>
    <n v="30.17"/>
    <n v="2.85"/>
    <n v="4"/>
    <n v="5"/>
    <n v="39"/>
  </r>
  <r>
    <n v="7"/>
    <x v="4"/>
    <x v="1"/>
    <s v="Monterrey"/>
    <n v="21300"/>
    <n v="28318"/>
    <x v="4"/>
    <n v="266215.82"/>
    <n v="106783"/>
    <n v="32.14"/>
    <n v="2.58"/>
    <n v="5"/>
    <n v="4"/>
    <n v="9"/>
  </r>
  <r>
    <n v="46"/>
    <x v="5"/>
    <x v="1"/>
    <s v="Guadalajara"/>
    <n v="18739"/>
    <n v="24136"/>
    <x v="5"/>
    <n v="246288.64000000001"/>
    <n v="102178"/>
    <n v="31.23"/>
    <n v="2.41"/>
    <n v="6"/>
    <n v="6"/>
    <n v="26"/>
  </r>
  <r>
    <n v="42"/>
    <x v="6"/>
    <x v="2"/>
    <s v="Hermosillo"/>
    <n v="16553"/>
    <n v="23236"/>
    <x v="6"/>
    <n v="246021.64"/>
    <n v="98825"/>
    <n v="32.35"/>
    <n v="2.39"/>
    <n v="7"/>
    <n v="7"/>
    <n v="8"/>
  </r>
  <r>
    <n v="39"/>
    <x v="7"/>
    <x v="1"/>
    <s v="Xalapa"/>
    <n v="18809"/>
    <n v="25296"/>
    <x v="7"/>
    <n v="255670.04"/>
    <n v="88637"/>
    <n v="29.92"/>
    <n v="2.38"/>
    <n v="8"/>
    <n v="13"/>
    <n v="44"/>
  </r>
  <r>
    <n v="37"/>
    <x v="8"/>
    <x v="3"/>
    <s v="Cuidad de Mexico"/>
    <n v="19551"/>
    <n v="26634"/>
    <x v="8"/>
    <n v="243403.66"/>
    <n v="94021"/>
    <n v="31.51"/>
    <n v="2.34"/>
    <n v="9"/>
    <n v="10"/>
    <n v="19"/>
  </r>
  <r>
    <n v="4"/>
    <x v="9"/>
    <x v="1"/>
    <s v="Saltillo"/>
    <n v="18924"/>
    <n v="24010"/>
    <x v="9"/>
    <n v="236156.9"/>
    <n v="94252"/>
    <n v="31.99"/>
    <n v="2.29"/>
    <n v="10"/>
    <n v="9"/>
    <n v="10"/>
  </r>
  <r>
    <n v="47"/>
    <x v="10"/>
    <x v="2"/>
    <s v="Monterrey"/>
    <n v="16276"/>
    <n v="22450"/>
    <x v="10"/>
    <n v="245734.5"/>
    <n v="79339"/>
    <n v="28.35"/>
    <n v="2.25"/>
    <n v="11"/>
    <n v="20"/>
    <n v="50"/>
  </r>
  <r>
    <n v="45"/>
    <x v="11"/>
    <x v="2"/>
    <s v="Cuidad de Mexico"/>
    <n v="17668"/>
    <n v="22729"/>
    <x v="11"/>
    <n v="233572.71"/>
    <n v="90385"/>
    <n v="31.12"/>
    <n v="2.2400000000000002"/>
    <n v="12"/>
    <n v="12"/>
    <n v="30"/>
  </r>
  <r>
    <n v="41"/>
    <x v="12"/>
    <x v="1"/>
    <s v="Hermosillo"/>
    <n v="18018"/>
    <n v="23498"/>
    <x v="12"/>
    <n v="235432.02"/>
    <n v="87995"/>
    <n v="30.57"/>
    <n v="2.2400000000000002"/>
    <n v="13"/>
    <n v="16"/>
    <n v="34"/>
  </r>
  <r>
    <n v="14"/>
    <x v="13"/>
    <x v="1"/>
    <s v="Guanajuato"/>
    <n v="18157"/>
    <n v="24740"/>
    <x v="13"/>
    <n v="225914.6"/>
    <n v="88002"/>
    <n v="31.86"/>
    <n v="2.17"/>
    <n v="14"/>
    <n v="15"/>
    <n v="12"/>
  </r>
  <r>
    <n v="10"/>
    <x v="14"/>
    <x v="1"/>
    <s v="Campeche"/>
    <n v="17695"/>
    <n v="24556"/>
    <x v="14"/>
    <n v="223538.44"/>
    <n v="88248"/>
    <n v="31.5"/>
    <n v="2.16"/>
    <n v="15"/>
    <n v="14"/>
    <n v="20"/>
  </r>
  <r>
    <n v="25"/>
    <x v="15"/>
    <x v="1"/>
    <s v="Ciudad Victoria"/>
    <n v="16034"/>
    <n v="20501"/>
    <x v="15"/>
    <n v="211715.99"/>
    <n v="83088"/>
    <n v="31.74"/>
    <n v="2.04"/>
    <n v="16"/>
    <n v="18"/>
    <n v="15"/>
  </r>
  <r>
    <n v="6"/>
    <x v="16"/>
    <x v="2"/>
    <s v="Mexicali"/>
    <n v="16864"/>
    <n v="22858"/>
    <x v="16"/>
    <n v="196813.42"/>
    <n v="97206"/>
    <n v="34.21"/>
    <n v="2.04"/>
    <n v="17"/>
    <n v="8"/>
    <n v="1"/>
  </r>
  <r>
    <n v="13"/>
    <x v="17"/>
    <x v="1"/>
    <s v="Mexicali"/>
    <n v="16991"/>
    <n v="21557"/>
    <x v="17"/>
    <n v="214314.43"/>
    <n v="77842"/>
    <n v="30.7"/>
    <n v="2.02"/>
    <n v="18"/>
    <n v="22"/>
    <n v="32"/>
  </r>
  <r>
    <n v="33"/>
    <x v="18"/>
    <x v="0"/>
    <s v="Monterrey"/>
    <n v="16049"/>
    <n v="22076"/>
    <x v="18"/>
    <n v="199192.24"/>
    <n v="86622"/>
    <n v="32.57"/>
    <n v="1.98"/>
    <n v="19"/>
    <n v="17"/>
    <n v="6"/>
  </r>
  <r>
    <n v="28"/>
    <x v="19"/>
    <x v="1"/>
    <s v="Puebla"/>
    <n v="16764"/>
    <n v="22413"/>
    <x v="19"/>
    <n v="207534.87"/>
    <n v="75082"/>
    <n v="30.43"/>
    <n v="1.96"/>
    <n v="20"/>
    <n v="28"/>
    <n v="36"/>
  </r>
  <r>
    <n v="22"/>
    <x v="20"/>
    <x v="2"/>
    <s v="Guanajuato"/>
    <n v="16494"/>
    <n v="21133"/>
    <x v="20"/>
    <n v="199376.67"/>
    <n v="79550"/>
    <n v="31.74"/>
    <n v="1.93"/>
    <n v="21"/>
    <n v="19"/>
    <n v="16"/>
  </r>
  <r>
    <n v="2"/>
    <x v="21"/>
    <x v="3"/>
    <s v="Monterrey"/>
    <n v="15698"/>
    <n v="20886"/>
    <x v="21"/>
    <n v="203974.14"/>
    <n v="73985"/>
    <n v="31.06"/>
    <n v="1.92"/>
    <n v="22"/>
    <n v="30"/>
    <n v="31"/>
  </r>
  <r>
    <n v="21"/>
    <x v="22"/>
    <x v="1"/>
    <s v="Santiago"/>
    <n v="16111"/>
    <n v="20286"/>
    <x v="22"/>
    <n v="204676.14"/>
    <n v="72922"/>
    <n v="30.44"/>
    <n v="1.92"/>
    <n v="23"/>
    <n v="31"/>
    <n v="35"/>
  </r>
  <r>
    <n v="50"/>
    <x v="23"/>
    <x v="3"/>
    <s v="Guanajuato"/>
    <n v="14569"/>
    <n v="18444"/>
    <x v="23"/>
    <n v="208717.56"/>
    <n v="67495"/>
    <n v="29.79"/>
    <n v="1.91"/>
    <n v="24"/>
    <n v="38"/>
    <n v="45"/>
  </r>
  <r>
    <n v="36"/>
    <x v="24"/>
    <x v="1"/>
    <s v="Morelia"/>
    <n v="14956"/>
    <n v="20895"/>
    <x v="24"/>
    <n v="182576.05"/>
    <n v="90484"/>
    <n v="33.340000000000003"/>
    <n v="1.89"/>
    <n v="25"/>
    <n v="11"/>
    <n v="3"/>
  </r>
  <r>
    <n v="38"/>
    <x v="25"/>
    <x v="1"/>
    <s v="Chihuahua"/>
    <n v="16580"/>
    <n v="22326"/>
    <x v="25"/>
    <n v="191441.74"/>
    <n v="77263"/>
    <n v="31.2"/>
    <n v="1.86"/>
    <n v="26"/>
    <n v="23"/>
    <n v="28"/>
  </r>
  <r>
    <n v="44"/>
    <x v="26"/>
    <x v="3"/>
    <s v="Puebla"/>
    <n v="14868"/>
    <n v="19345"/>
    <x v="26"/>
    <n v="188889.55"/>
    <n v="78670"/>
    <n v="32.57"/>
    <n v="1.85"/>
    <n v="27"/>
    <n v="21"/>
    <n v="7"/>
  </r>
  <r>
    <n v="29"/>
    <x v="27"/>
    <x v="2"/>
    <s v="Xalapa"/>
    <n v="14998"/>
    <n v="18927"/>
    <x v="27"/>
    <n v="190729.73"/>
    <n v="75083"/>
    <n v="31.23"/>
    <n v="1.84"/>
    <n v="28"/>
    <n v="27"/>
    <n v="27"/>
  </r>
  <r>
    <n v="16"/>
    <x v="28"/>
    <x v="1"/>
    <s v="San Luis Potosi"/>
    <n v="15499"/>
    <n v="19635"/>
    <x v="28"/>
    <n v="194509.65"/>
    <n v="68880"/>
    <n v="30.15"/>
    <n v="1.82"/>
    <n v="29"/>
    <n v="35"/>
    <n v="41"/>
  </r>
  <r>
    <n v="3"/>
    <x v="29"/>
    <x v="2"/>
    <s v="Guadalajara"/>
    <n v="16331"/>
    <n v="20698"/>
    <x v="29"/>
    <n v="186683.02"/>
    <n v="75752"/>
    <n v="31.83"/>
    <n v="1.82"/>
    <n v="30"/>
    <n v="26"/>
    <n v="13"/>
  </r>
  <r>
    <n v="1"/>
    <x v="30"/>
    <x v="3"/>
    <s v="Guadalajara"/>
    <n v="15926"/>
    <n v="20011"/>
    <x v="30"/>
    <n v="192413.89"/>
    <n v="69429"/>
    <n v="30.65"/>
    <n v="1.81"/>
    <n v="31"/>
    <n v="33"/>
    <n v="33"/>
  </r>
  <r>
    <n v="12"/>
    <x v="31"/>
    <x v="1"/>
    <s v="Chetumal"/>
    <n v="14644"/>
    <n v="18965"/>
    <x v="31"/>
    <n v="190979.35"/>
    <n v="67940"/>
    <n v="30.2"/>
    <n v="1.79"/>
    <n v="32"/>
    <n v="37"/>
    <n v="38"/>
  </r>
  <r>
    <n v="19"/>
    <x v="32"/>
    <x v="2"/>
    <s v="Puebla"/>
    <n v="15776"/>
    <n v="19413"/>
    <x v="32"/>
    <n v="182591.87"/>
    <n v="75942"/>
    <n v="33.049999999999997"/>
    <n v="1.79"/>
    <n v="33"/>
    <n v="25"/>
    <n v="4"/>
  </r>
  <r>
    <n v="34"/>
    <x v="33"/>
    <x v="1"/>
    <s v="Villahermosa"/>
    <n v="16324"/>
    <n v="20934"/>
    <x v="33"/>
    <n v="183989.66"/>
    <n v="74221"/>
    <n v="31.45"/>
    <n v="1.79"/>
    <n v="34"/>
    <n v="29"/>
    <n v="23"/>
  </r>
  <r>
    <n v="49"/>
    <x v="34"/>
    <x v="1"/>
    <s v="Culiacan"/>
    <n v="14594"/>
    <n v="19909"/>
    <x v="34"/>
    <n v="187201.91"/>
    <n v="63959"/>
    <n v="29.58"/>
    <n v="1.74"/>
    <n v="35"/>
    <n v="43"/>
    <n v="49"/>
  </r>
  <r>
    <n v="48"/>
    <x v="35"/>
    <x v="2"/>
    <s v="Saltillo"/>
    <n v="14166"/>
    <n v="18893"/>
    <x v="35"/>
    <n v="180110.07"/>
    <n v="68996"/>
    <n v="31.55"/>
    <n v="1.72"/>
    <n v="36"/>
    <n v="34"/>
    <n v="18"/>
  </r>
  <r>
    <n v="23"/>
    <x v="36"/>
    <x v="2"/>
    <s v="Chihuahua"/>
    <n v="13998"/>
    <n v="18070"/>
    <x v="36"/>
    <n v="178403.3"/>
    <n v="69605"/>
    <n v="31.47"/>
    <n v="1.72"/>
    <n v="37"/>
    <n v="32"/>
    <n v="22"/>
  </r>
  <r>
    <n v="35"/>
    <x v="37"/>
    <x v="1"/>
    <s v="Chilpancingo"/>
    <n v="14592"/>
    <n v="18327"/>
    <x v="37"/>
    <n v="175981.73"/>
    <n v="66558"/>
    <n v="31.74"/>
    <n v="1.68"/>
    <n v="38"/>
    <n v="39"/>
    <n v="17"/>
  </r>
  <r>
    <n v="27"/>
    <x v="38"/>
    <x v="1"/>
    <s v="Oaxaca"/>
    <n v="13957"/>
    <n v="18564"/>
    <x v="38"/>
    <n v="182536.36"/>
    <n v="59618"/>
    <n v="29.68"/>
    <n v="1.68"/>
    <n v="39"/>
    <n v="45"/>
    <n v="48"/>
  </r>
  <r>
    <n v="24"/>
    <x v="39"/>
    <x v="1"/>
    <s v="Aguascalientes"/>
    <n v="14588"/>
    <n v="17865"/>
    <x v="39"/>
    <n v="171355.35"/>
    <n v="68642"/>
    <n v="31.77"/>
    <n v="1.66"/>
    <n v="40"/>
    <n v="36"/>
    <n v="14"/>
  </r>
  <r>
    <n v="8"/>
    <x v="40"/>
    <x v="1"/>
    <s v="Pachuca"/>
    <n v="14969"/>
    <n v="19185"/>
    <x v="40"/>
    <n v="173687.15"/>
    <n v="63989"/>
    <n v="30.16"/>
    <n v="1.65"/>
    <n v="41"/>
    <n v="42"/>
    <n v="40"/>
  </r>
  <r>
    <n v="32"/>
    <x v="41"/>
    <x v="3"/>
    <s v="Hermosillo"/>
    <n v="15264"/>
    <n v="20082"/>
    <x v="41"/>
    <n v="158327.18"/>
    <n v="76788"/>
    <n v="33.39"/>
    <n v="1.63"/>
    <n v="42"/>
    <n v="24"/>
    <n v="2"/>
  </r>
  <r>
    <n v="18"/>
    <x v="42"/>
    <x v="1"/>
    <s v="Merida"/>
    <n v="14875"/>
    <n v="18328"/>
    <x v="42"/>
    <n v="167698.72"/>
    <n v="64399"/>
    <n v="31.15"/>
    <n v="1.61"/>
    <n v="43"/>
    <n v="41"/>
    <n v="29"/>
  </r>
  <r>
    <n v="20"/>
    <x v="43"/>
    <x v="1"/>
    <s v="Zacatecas"/>
    <n v="13501"/>
    <n v="17196"/>
    <x v="43"/>
    <n v="170823.04000000001"/>
    <n v="59160"/>
    <n v="29.73"/>
    <n v="1.59"/>
    <n v="44"/>
    <n v="46"/>
    <n v="47"/>
  </r>
  <r>
    <n v="15"/>
    <x v="44"/>
    <x v="1"/>
    <s v="Tuxtla Gutierrez"/>
    <n v="14618"/>
    <n v="19773"/>
    <x v="44"/>
    <n v="163911.26999999999"/>
    <n v="65787"/>
    <n v="31.36"/>
    <n v="1.59"/>
    <n v="45"/>
    <n v="40"/>
    <n v="24"/>
  </r>
  <r>
    <n v="40"/>
    <x v="45"/>
    <x v="2"/>
    <s v="Toluca"/>
    <n v="12776"/>
    <n v="15964"/>
    <x v="45"/>
    <n v="164274.35999999999"/>
    <n v="58090"/>
    <n v="29.76"/>
    <n v="1.54"/>
    <n v="46"/>
    <n v="48"/>
    <n v="46"/>
  </r>
  <r>
    <n v="43"/>
    <x v="46"/>
    <x v="1"/>
    <s v="Durango"/>
    <n v="14110"/>
    <n v="17422"/>
    <x v="46"/>
    <n v="159645.78"/>
    <n v="62673"/>
    <n v="31.49"/>
    <n v="1.54"/>
    <n v="47"/>
    <n v="44"/>
    <n v="21"/>
  </r>
  <r>
    <n v="11"/>
    <x v="47"/>
    <x v="1"/>
    <s v="Cuernavaca"/>
    <n v="13643"/>
    <n v="17074"/>
    <x v="47"/>
    <n v="164776.26"/>
    <n v="56811"/>
    <n v="30.4"/>
    <n v="1.53"/>
    <n v="48"/>
    <n v="50"/>
    <n v="37"/>
  </r>
  <r>
    <n v="5"/>
    <x v="48"/>
    <x v="1"/>
    <s v="La Paz"/>
    <n v="13217"/>
    <n v="16217"/>
    <x v="48"/>
    <n v="153490.82999999999"/>
    <n v="57407"/>
    <n v="31.26"/>
    <n v="1.46"/>
    <n v="49"/>
    <n v="49"/>
    <n v="25"/>
  </r>
  <r>
    <n v="26"/>
    <x v="49"/>
    <x v="2"/>
    <s v="Campeche"/>
    <n v="12805"/>
    <n v="16277"/>
    <x v="49"/>
    <n v="147964.23000000001"/>
    <n v="58091"/>
    <n v="31.9"/>
    <n v="1.43"/>
    <n v="50"/>
    <n v="47"/>
    <n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2022"/>
    <n v="1"/>
    <x v="0"/>
    <n v="27435"/>
    <n v="32971"/>
    <n v="640206.29"/>
    <n v="505445.29"/>
    <n v="134761"/>
    <n v="23.88"/>
    <n v="8.56"/>
    <n v="6.15"/>
  </r>
  <r>
    <n v="2022"/>
    <n v="1"/>
    <x v="1"/>
    <n v="17095"/>
    <n v="25764"/>
    <n v="410226.36"/>
    <n v="210666.36"/>
    <n v="199560"/>
    <n v="49.47"/>
    <n v="5.48"/>
    <n v="9.11"/>
  </r>
  <r>
    <n v="2022"/>
    <n v="1"/>
    <x v="2"/>
    <n v="18995"/>
    <n v="24445"/>
    <n v="277249.55"/>
    <n v="198195.55"/>
    <n v="79054"/>
    <n v="33.909999999999997"/>
    <n v="3.71"/>
    <n v="3.61"/>
  </r>
  <r>
    <n v="2022"/>
    <n v="1"/>
    <x v="3"/>
    <n v="13560"/>
    <n v="16707"/>
    <n v="225028.93"/>
    <n v="170391.93"/>
    <n v="54637"/>
    <n v="22.07"/>
    <n v="3.01"/>
    <n v="2.5"/>
  </r>
  <r>
    <n v="2022"/>
    <n v="1"/>
    <x v="4"/>
    <n v="12489"/>
    <n v="15038"/>
    <n v="120680.62"/>
    <n v="85713.62"/>
    <n v="34967"/>
    <n v="28.69"/>
    <n v="1.61"/>
    <n v="1.6"/>
  </r>
  <r>
    <n v="2022"/>
    <n v="2"/>
    <x v="0"/>
    <n v="34700"/>
    <n v="43054"/>
    <n v="842580.46"/>
    <n v="667040.46"/>
    <n v="175540"/>
    <n v="24.66"/>
    <n v="11.26"/>
    <n v="8.02"/>
  </r>
  <r>
    <n v="2022"/>
    <n v="2"/>
    <x v="1"/>
    <n v="15512"/>
    <n v="22737"/>
    <n v="362717.63"/>
    <n v="186791.63"/>
    <n v="175926"/>
    <n v="49.39"/>
    <n v="4.8499999999999996"/>
    <n v="8.0299999999999994"/>
  </r>
  <r>
    <n v="2022"/>
    <n v="2"/>
    <x v="3"/>
    <n v="18385"/>
    <n v="25944"/>
    <n v="319060.56"/>
    <n v="250795.56"/>
    <n v="68265"/>
    <n v="19.91"/>
    <n v="4.26"/>
    <n v="3.12"/>
  </r>
  <r>
    <n v="2022"/>
    <n v="2"/>
    <x v="2"/>
    <n v="21420"/>
    <n v="26458"/>
    <n v="291675.42"/>
    <n v="200185.42"/>
    <n v="91490"/>
    <n v="37.21"/>
    <n v="3.9"/>
    <n v="4.18"/>
  </r>
  <r>
    <n v="2022"/>
    <n v="2"/>
    <x v="4"/>
    <n v="18278"/>
    <n v="22997"/>
    <n v="199389.03"/>
    <n v="143802.03"/>
    <n v="55587"/>
    <n v="28.54"/>
    <n v="2.66"/>
    <n v="2.54"/>
  </r>
  <r>
    <n v="2022"/>
    <n v="3"/>
    <x v="0"/>
    <n v="25118"/>
    <n v="29076"/>
    <n v="536983.24"/>
    <n v="403977.24"/>
    <n v="133006"/>
    <n v="28.79"/>
    <n v="7.18"/>
    <n v="6.07"/>
  </r>
  <r>
    <n v="2022"/>
    <n v="3"/>
    <x v="1"/>
    <n v="15238"/>
    <n v="21226"/>
    <n v="344533.74"/>
    <n v="182729.74"/>
    <n v="161804"/>
    <n v="47.86"/>
    <n v="4.5999999999999996"/>
    <n v="7.39"/>
  </r>
  <r>
    <n v="2022"/>
    <n v="3"/>
    <x v="3"/>
    <n v="17667"/>
    <n v="24831"/>
    <n v="297675.69"/>
    <n v="235604.69"/>
    <n v="62071"/>
    <n v="19.66"/>
    <n v="3.98"/>
    <n v="2.83"/>
  </r>
  <r>
    <n v="2022"/>
    <n v="3"/>
    <x v="2"/>
    <n v="20535"/>
    <n v="24329"/>
    <n v="261031.71"/>
    <n v="169768.71"/>
    <n v="91263"/>
    <n v="40.06"/>
    <n v="3.49"/>
    <n v="4.17"/>
  </r>
  <r>
    <n v="2022"/>
    <n v="3"/>
    <x v="4"/>
    <n v="20628"/>
    <n v="28838"/>
    <n v="191076.62"/>
    <n v="136970.62"/>
    <n v="54106"/>
    <n v="31.91"/>
    <n v="2.5499999999999998"/>
    <n v="2.4700000000000002"/>
  </r>
  <r>
    <n v="2022"/>
    <n v="4"/>
    <x v="0"/>
    <n v="30613"/>
    <n v="36244"/>
    <n v="767556.56"/>
    <n v="601839.56000000006"/>
    <n v="165717"/>
    <n v="27.02"/>
    <n v="10.26"/>
    <n v="7.57"/>
  </r>
  <r>
    <n v="2022"/>
    <n v="4"/>
    <x v="2"/>
    <n v="26450"/>
    <n v="33209"/>
    <n v="398686.91"/>
    <n v="282112.90999999997"/>
    <n v="116574"/>
    <n v="35.47"/>
    <n v="5.33"/>
    <n v="5.32"/>
  </r>
  <r>
    <n v="2022"/>
    <n v="4"/>
    <x v="4"/>
    <n v="35559"/>
    <n v="55639"/>
    <n v="395494.61"/>
    <n v="267205.61"/>
    <n v="128289"/>
    <n v="36.619999999999997"/>
    <n v="5.29"/>
    <n v="5.86"/>
  </r>
  <r>
    <n v="2022"/>
    <n v="4"/>
    <x v="1"/>
    <n v="14207"/>
    <n v="18754"/>
    <n v="322981.46000000002"/>
    <n v="185864.46"/>
    <n v="137117"/>
    <n v="44.2"/>
    <n v="4.32"/>
    <n v="6.26"/>
  </r>
  <r>
    <n v="2022"/>
    <n v="4"/>
    <x v="3"/>
    <n v="16961"/>
    <n v="21231"/>
    <n v="277662.69"/>
    <n v="207609.69"/>
    <n v="70053"/>
    <n v="23.59"/>
    <n v="3.71"/>
    <n v="3.2"/>
  </r>
  <r>
    <n v="2023"/>
    <n v="1"/>
    <x v="0"/>
    <n v="31371"/>
    <n v="38298"/>
    <n v="740685.02"/>
    <n v="590155.02"/>
    <n v="150530"/>
    <n v="24.15"/>
    <n v="10.64"/>
    <n v="8.25"/>
  </r>
  <r>
    <n v="2023"/>
    <n v="1"/>
    <x v="4"/>
    <n v="42840"/>
    <n v="67855"/>
    <n v="589466.44999999995"/>
    <n v="433208.45"/>
    <n v="156258"/>
    <n v="33.44"/>
    <n v="8.4700000000000006"/>
    <n v="8.57"/>
  </r>
  <r>
    <n v="2023"/>
    <n v="1"/>
    <x v="2"/>
    <n v="26436"/>
    <n v="34219"/>
    <n v="402806.81"/>
    <n v="285220.81"/>
    <n v="117586"/>
    <n v="34.99"/>
    <n v="5.79"/>
    <n v="6.45"/>
  </r>
  <r>
    <n v="2023"/>
    <n v="1"/>
    <x v="3"/>
    <n v="18703"/>
    <n v="22939"/>
    <n v="317499.61"/>
    <n v="237723.61"/>
    <n v="79776"/>
    <n v="23.97"/>
    <n v="4.5599999999999996"/>
    <n v="4.37"/>
  </r>
  <r>
    <n v="2023"/>
    <n v="1"/>
    <x v="1"/>
    <n v="13319"/>
    <n v="17084"/>
    <n v="302886.15999999997"/>
    <n v="180739.16"/>
    <n v="122147"/>
    <n v="42"/>
    <n v="4.3499999999999996"/>
    <n v="6.7"/>
  </r>
  <r>
    <n v="2023"/>
    <n v="2"/>
    <x v="0"/>
    <n v="37385"/>
    <n v="45929"/>
    <n v="818279.71"/>
    <n v="646858.71"/>
    <n v="171421"/>
    <n v="24.37"/>
    <n v="11.75"/>
    <n v="9.4"/>
  </r>
  <r>
    <n v="2023"/>
    <n v="2"/>
    <x v="4"/>
    <n v="47350"/>
    <n v="73632"/>
    <n v="659868.68000000005"/>
    <n v="495172.68"/>
    <n v="164696"/>
    <n v="31.69"/>
    <n v="9.48"/>
    <n v="9.0299999999999994"/>
  </r>
  <r>
    <n v="2023"/>
    <n v="2"/>
    <x v="3"/>
    <n v="24796"/>
    <n v="31021"/>
    <n v="396273.79"/>
    <n v="304709.78999999998"/>
    <n v="91564"/>
    <n v="22.46"/>
    <n v="5.69"/>
    <n v="5.0199999999999996"/>
  </r>
  <r>
    <n v="2023"/>
    <n v="2"/>
    <x v="2"/>
    <n v="23359"/>
    <n v="28606"/>
    <n v="329204.94"/>
    <n v="228267.94"/>
    <n v="100937"/>
    <n v="36.35"/>
    <n v="4.7300000000000004"/>
    <n v="5.53"/>
  </r>
  <r>
    <n v="2023"/>
    <n v="2"/>
    <x v="1"/>
    <n v="11941"/>
    <n v="14531"/>
    <n v="257682.69"/>
    <n v="153645.69"/>
    <n v="104037"/>
    <n v="42.29"/>
    <n v="3.7"/>
    <n v="5.7"/>
  </r>
  <r>
    <n v="2023"/>
    <n v="3"/>
    <x v="0"/>
    <n v="34605"/>
    <n v="41628"/>
    <n v="746949.72"/>
    <n v="598397.72"/>
    <n v="148552"/>
    <n v="23.41"/>
    <n v="10.73"/>
    <n v="8.14"/>
  </r>
  <r>
    <n v="2023"/>
    <n v="3"/>
    <x v="4"/>
    <n v="43529"/>
    <n v="61575"/>
    <n v="549388.25"/>
    <n v="389937.25"/>
    <n v="159451"/>
    <n v="33.79"/>
    <n v="7.89"/>
    <n v="8.74"/>
  </r>
  <r>
    <n v="2023"/>
    <n v="3"/>
    <x v="3"/>
    <n v="21259"/>
    <n v="26370"/>
    <n v="339158.3"/>
    <n v="259806.3"/>
    <n v="79352"/>
    <n v="22.66"/>
    <n v="4.87"/>
    <n v="4.3499999999999996"/>
  </r>
  <r>
    <n v="2023"/>
    <n v="3"/>
    <x v="2"/>
    <n v="19811"/>
    <n v="23407"/>
    <n v="266180.93"/>
    <n v="189091.93"/>
    <n v="77089"/>
    <n v="34.79"/>
    <n v="3.82"/>
    <n v="4.2300000000000004"/>
  </r>
  <r>
    <n v="2023"/>
    <n v="3"/>
    <x v="1"/>
    <n v="11713"/>
    <n v="13979"/>
    <n v="245743.21"/>
    <n v="144897.21"/>
    <n v="100846"/>
    <n v="43.3"/>
    <n v="3.53"/>
    <n v="5.5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3">
  <r>
    <n v="1"/>
    <s v="Maven Toys Guadalajara 1"/>
    <x v="0"/>
    <n v="2"/>
    <s v="Animal Figures"/>
    <x v="0"/>
    <n v="0"/>
    <n v="633"/>
    <n v="0"/>
    <x v="0"/>
  </r>
  <r>
    <n v="1"/>
    <s v="Maven Toys Guadalajara 1"/>
    <x v="0"/>
    <n v="5"/>
    <s v="Classic Dominoes"/>
    <x v="1"/>
    <n v="0"/>
    <n v="224"/>
    <n v="0"/>
    <x v="0"/>
  </r>
  <r>
    <n v="2"/>
    <s v="Maven Toys Monterrey 1"/>
    <x v="0"/>
    <n v="1"/>
    <s v="Action Figure"/>
    <x v="0"/>
    <n v="0"/>
    <n v="746"/>
    <n v="0"/>
    <x v="0"/>
  </r>
  <r>
    <n v="1"/>
    <s v="Maven Toys Guadalajara 1"/>
    <x v="0"/>
    <n v="34"/>
    <s v="Toy Robot"/>
    <x v="2"/>
    <n v="0"/>
    <n v="246"/>
    <n v="0"/>
    <x v="0"/>
  </r>
  <r>
    <n v="2"/>
    <s v="Maven Toys Monterrey 1"/>
    <x v="0"/>
    <n v="9"/>
    <s v="Dino Egg"/>
    <x v="0"/>
    <n v="0"/>
    <n v="827"/>
    <n v="0"/>
    <x v="0"/>
  </r>
  <r>
    <n v="2"/>
    <s v="Maven Toys Monterrey 1"/>
    <x v="0"/>
    <n v="11"/>
    <s v="Etch A Sketch"/>
    <x v="3"/>
    <n v="0"/>
    <n v="162"/>
    <n v="0"/>
    <x v="0"/>
  </r>
  <r>
    <n v="3"/>
    <s v="Maven Toys Guadalajara 2"/>
    <x v="1"/>
    <n v="15"/>
    <s v="Hot Wheels 5-Pack"/>
    <x v="0"/>
    <n v="0"/>
    <n v="678"/>
    <n v="0"/>
    <x v="0"/>
  </r>
  <r>
    <n v="3"/>
    <s v="Maven Toys Guadalajara 2"/>
    <x v="1"/>
    <n v="29"/>
    <s v="Plush Pony"/>
    <x v="0"/>
    <n v="0"/>
    <n v="46"/>
    <n v="0"/>
    <x v="0"/>
  </r>
  <r>
    <n v="4"/>
    <s v="Maven Toys Saltillo 1"/>
    <x v="2"/>
    <n v="34"/>
    <s v="Toy Robot"/>
    <x v="2"/>
    <n v="0"/>
    <n v="195"/>
    <n v="0"/>
    <x v="0"/>
  </r>
  <r>
    <n v="5"/>
    <s v="Maven Toys La Paz 1"/>
    <x v="2"/>
    <n v="11"/>
    <s v="Etch A Sketch"/>
    <x v="3"/>
    <n v="0"/>
    <n v="150"/>
    <n v="0"/>
    <x v="0"/>
  </r>
  <r>
    <n v="5"/>
    <s v="Maven Toys La Paz 1"/>
    <x v="2"/>
    <n v="12"/>
    <s v="Foam Disk Launcher"/>
    <x v="4"/>
    <n v="0"/>
    <n v="114"/>
    <n v="0"/>
    <x v="0"/>
  </r>
  <r>
    <n v="5"/>
    <s v="Maven Toys La Paz 1"/>
    <x v="2"/>
    <n v="15"/>
    <s v="Hot Wheels 5-Pack"/>
    <x v="0"/>
    <n v="0"/>
    <n v="337"/>
    <n v="0"/>
    <x v="0"/>
  </r>
  <r>
    <n v="5"/>
    <s v="Maven Toys La Paz 1"/>
    <x v="2"/>
    <n v="21"/>
    <s v="Mini Ping Pong Set"/>
    <x v="4"/>
    <n v="0"/>
    <n v="1132"/>
    <n v="0"/>
    <x v="0"/>
  </r>
  <r>
    <n v="5"/>
    <s v="Maven Toys La Paz 1"/>
    <x v="2"/>
    <n v="28"/>
    <s v="Playfoam"/>
    <x v="3"/>
    <n v="0"/>
    <n v="34"/>
    <n v="0"/>
    <x v="0"/>
  </r>
  <r>
    <n v="6"/>
    <s v="Maven Toys Mexicali 1"/>
    <x v="1"/>
    <n v="1"/>
    <s v="Action Figure"/>
    <x v="0"/>
    <n v="0"/>
    <n v="908"/>
    <n v="0"/>
    <x v="0"/>
  </r>
  <r>
    <n v="7"/>
    <s v="Maven Toys Monterrey 2"/>
    <x v="2"/>
    <n v="9"/>
    <s v="Dino Egg"/>
    <x v="0"/>
    <n v="0"/>
    <n v="619"/>
    <n v="0"/>
    <x v="0"/>
  </r>
  <r>
    <n v="7"/>
    <s v="Maven Toys Monterrey 2"/>
    <x v="2"/>
    <n v="28"/>
    <s v="Playfoam"/>
    <x v="3"/>
    <n v="0"/>
    <n v="116"/>
    <n v="0"/>
    <x v="0"/>
  </r>
  <r>
    <n v="8"/>
    <s v="Maven Toys Pachuca 1"/>
    <x v="2"/>
    <n v="9"/>
    <s v="Dino Egg"/>
    <x v="0"/>
    <n v="0"/>
    <n v="844"/>
    <n v="0"/>
    <x v="0"/>
  </r>
  <r>
    <n v="8"/>
    <s v="Maven Toys Pachuca 1"/>
    <x v="2"/>
    <n v="13"/>
    <s v="Gamer Headphones"/>
    <x v="2"/>
    <n v="0"/>
    <n v="326"/>
    <n v="0"/>
    <x v="0"/>
  </r>
  <r>
    <n v="8"/>
    <s v="Maven Toys Pachuca 1"/>
    <x v="2"/>
    <n v="14"/>
    <s v="Glass Marbles"/>
    <x v="1"/>
    <n v="0"/>
    <n v="547"/>
    <n v="0"/>
    <x v="0"/>
  </r>
  <r>
    <n v="8"/>
    <s v="Maven Toys Pachuca 1"/>
    <x v="2"/>
    <n v="15"/>
    <s v="Hot Wheels 5-Pack"/>
    <x v="0"/>
    <n v="0"/>
    <n v="358"/>
    <n v="0"/>
    <x v="0"/>
  </r>
  <r>
    <n v="11"/>
    <s v="Maven Toys Cuernavaca 1"/>
    <x v="2"/>
    <n v="21"/>
    <s v="Mini Ping Pong Set"/>
    <x v="4"/>
    <n v="0"/>
    <n v="544"/>
    <n v="0"/>
    <x v="0"/>
  </r>
  <r>
    <n v="13"/>
    <s v="Maven Toys Mexicali 2"/>
    <x v="2"/>
    <n v="1"/>
    <s v="Action Figure"/>
    <x v="0"/>
    <n v="0"/>
    <n v="1511"/>
    <n v="0"/>
    <x v="0"/>
  </r>
  <r>
    <n v="13"/>
    <s v="Maven Toys Mexicali 2"/>
    <x v="2"/>
    <n v="9"/>
    <s v="Dino Egg"/>
    <x v="0"/>
    <n v="0"/>
    <n v="792"/>
    <n v="0"/>
    <x v="0"/>
  </r>
  <r>
    <n v="13"/>
    <s v="Maven Toys Mexicali 2"/>
    <x v="2"/>
    <n v="11"/>
    <s v="Etch A Sketch"/>
    <x v="3"/>
    <n v="0"/>
    <n v="224"/>
    <n v="0"/>
    <x v="0"/>
  </r>
  <r>
    <n v="13"/>
    <s v="Maven Toys Mexicali 2"/>
    <x v="2"/>
    <n v="12"/>
    <s v="Foam Disk Launcher"/>
    <x v="4"/>
    <n v="0"/>
    <n v="210"/>
    <n v="0"/>
    <x v="0"/>
  </r>
  <r>
    <n v="13"/>
    <s v="Maven Toys Mexicali 2"/>
    <x v="2"/>
    <n v="28"/>
    <s v="Playfoam"/>
    <x v="3"/>
    <n v="0"/>
    <n v="17"/>
    <n v="0"/>
    <x v="0"/>
  </r>
  <r>
    <n v="14"/>
    <s v="Maven Toys Guanajuato 1"/>
    <x v="2"/>
    <n v="15"/>
    <s v="Hot Wheels 5-Pack"/>
    <x v="0"/>
    <n v="0"/>
    <n v="360"/>
    <n v="0"/>
    <x v="0"/>
  </r>
  <r>
    <n v="14"/>
    <s v="Maven Toys Guanajuato 1"/>
    <x v="2"/>
    <n v="21"/>
    <s v="Mini Ping Pong Set"/>
    <x v="4"/>
    <n v="0"/>
    <n v="749"/>
    <n v="0"/>
    <x v="0"/>
  </r>
  <r>
    <n v="14"/>
    <s v="Maven Toys Guanajuato 1"/>
    <x v="2"/>
    <n v="29"/>
    <s v="Plush Pony"/>
    <x v="0"/>
    <n v="0"/>
    <n v="57"/>
    <n v="0"/>
    <x v="0"/>
  </r>
  <r>
    <n v="15"/>
    <s v="Maven Toys Tuxtla Gutierrez 1"/>
    <x v="2"/>
    <n v="12"/>
    <s v="Foam Disk Launcher"/>
    <x v="4"/>
    <n v="0"/>
    <n v="176"/>
    <n v="0"/>
    <x v="0"/>
  </r>
  <r>
    <n v="16"/>
    <s v="Maven Toys San Luis Potosi 1"/>
    <x v="2"/>
    <n v="28"/>
    <s v="Playfoam"/>
    <x v="3"/>
    <n v="0"/>
    <n v="92"/>
    <n v="0"/>
    <x v="0"/>
  </r>
  <r>
    <n v="18"/>
    <s v="Maven Toys Merida 1"/>
    <x v="2"/>
    <n v="28"/>
    <s v="Playfoam"/>
    <x v="3"/>
    <n v="0"/>
    <n v="67"/>
    <n v="0"/>
    <x v="0"/>
  </r>
  <r>
    <n v="19"/>
    <s v="Maven Toys Puebla 1"/>
    <x v="1"/>
    <n v="11"/>
    <s v="Etch A Sketch"/>
    <x v="3"/>
    <n v="0"/>
    <n v="146"/>
    <n v="0"/>
    <x v="0"/>
  </r>
  <r>
    <n v="19"/>
    <s v="Maven Toys Puebla 1"/>
    <x v="1"/>
    <n v="15"/>
    <s v="Hot Wheels 5-Pack"/>
    <x v="0"/>
    <n v="0"/>
    <n v="464"/>
    <n v="0"/>
    <x v="0"/>
  </r>
  <r>
    <n v="19"/>
    <s v="Maven Toys Puebla 1"/>
    <x v="1"/>
    <n v="33"/>
    <s v="Teddy Bear"/>
    <x v="0"/>
    <n v="0"/>
    <n v="57"/>
    <n v="0"/>
    <x v="0"/>
  </r>
  <r>
    <n v="20"/>
    <s v="Maven Toys Zacatecas 1"/>
    <x v="2"/>
    <n v="21"/>
    <s v="Mini Ping Pong Set"/>
    <x v="4"/>
    <n v="0"/>
    <n v="259"/>
    <n v="0"/>
    <x v="0"/>
  </r>
  <r>
    <n v="22"/>
    <s v="Maven Toys Guanajuato 2"/>
    <x v="1"/>
    <n v="15"/>
    <s v="Hot Wheels 5-Pack"/>
    <x v="0"/>
    <n v="0"/>
    <n v="357"/>
    <n v="0"/>
    <x v="0"/>
  </r>
  <r>
    <n v="22"/>
    <s v="Maven Toys Guanajuato 2"/>
    <x v="1"/>
    <n v="3"/>
    <s v="Barrel O' Slime"/>
    <x v="3"/>
    <n v="0"/>
    <n v="1475"/>
    <n v="0"/>
    <x v="0"/>
  </r>
  <r>
    <n v="22"/>
    <s v="Maven Toys Guanajuato 2"/>
    <x v="1"/>
    <n v="28"/>
    <s v="Playfoam"/>
    <x v="3"/>
    <n v="0"/>
    <n v="159"/>
    <n v="0"/>
    <x v="0"/>
  </r>
  <r>
    <n v="24"/>
    <s v="Maven Toys Aguascalientes 1"/>
    <x v="2"/>
    <n v="12"/>
    <s v="Foam Disk Launcher"/>
    <x v="4"/>
    <n v="0"/>
    <n v="58"/>
    <n v="0"/>
    <x v="0"/>
  </r>
  <r>
    <n v="24"/>
    <s v="Maven Toys Aguascalientes 1"/>
    <x v="2"/>
    <n v="15"/>
    <s v="Hot Wheels 5-Pack"/>
    <x v="0"/>
    <n v="0"/>
    <n v="301"/>
    <n v="0"/>
    <x v="0"/>
  </r>
  <r>
    <n v="24"/>
    <s v="Maven Toys Aguascalientes 1"/>
    <x v="2"/>
    <n v="21"/>
    <s v="Mini Ping Pong Set"/>
    <x v="4"/>
    <n v="0"/>
    <n v="888"/>
    <n v="0"/>
    <x v="0"/>
  </r>
  <r>
    <n v="24"/>
    <s v="Maven Toys Aguascalientes 1"/>
    <x v="2"/>
    <n v="28"/>
    <s v="Playfoam"/>
    <x v="3"/>
    <n v="0"/>
    <n v="72"/>
    <n v="0"/>
    <x v="0"/>
  </r>
  <r>
    <n v="25"/>
    <s v="Maven Toys Ciudad Victoria 1"/>
    <x v="2"/>
    <n v="31"/>
    <s v="Splash Balls"/>
    <x v="4"/>
    <n v="0"/>
    <n v="187"/>
    <n v="0"/>
    <x v="0"/>
  </r>
  <r>
    <n v="27"/>
    <s v="Maven Toys Oaxaca 1"/>
    <x v="2"/>
    <n v="11"/>
    <s v="Etch A Sketch"/>
    <x v="3"/>
    <n v="0"/>
    <n v="138"/>
    <n v="0"/>
    <x v="0"/>
  </r>
  <r>
    <n v="28"/>
    <s v="Maven Toys Puebla 2"/>
    <x v="2"/>
    <n v="2"/>
    <s v="Animal Figures"/>
    <x v="0"/>
    <n v="0"/>
    <n v="833"/>
    <n v="0"/>
    <x v="0"/>
  </r>
  <r>
    <n v="28"/>
    <s v="Maven Toys Puebla 2"/>
    <x v="2"/>
    <n v="15"/>
    <s v="Hot Wheels 5-Pack"/>
    <x v="0"/>
    <n v="0"/>
    <n v="474"/>
    <n v="0"/>
    <x v="0"/>
  </r>
  <r>
    <n v="32"/>
    <s v="Maven Toys Hermosillo 1"/>
    <x v="0"/>
    <n v="21"/>
    <s v="Mini Ping Pong Set"/>
    <x v="4"/>
    <n v="0"/>
    <n v="290"/>
    <n v="0"/>
    <x v="0"/>
  </r>
  <r>
    <n v="33"/>
    <s v="Maven Toys Monterrey 3"/>
    <x v="3"/>
    <n v="13"/>
    <s v="Gamer Headphones"/>
    <x v="2"/>
    <n v="0"/>
    <n v="452"/>
    <n v="0"/>
    <x v="0"/>
  </r>
  <r>
    <n v="33"/>
    <s v="Maven Toys Monterrey 3"/>
    <x v="3"/>
    <n v="15"/>
    <s v="Hot Wheels 5-Pack"/>
    <x v="0"/>
    <n v="0"/>
    <n v="436"/>
    <n v="0"/>
    <x v="0"/>
  </r>
  <r>
    <n v="34"/>
    <s v="Maven Toys Villahermosa 1"/>
    <x v="2"/>
    <n v="9"/>
    <s v="Dino Egg"/>
    <x v="0"/>
    <n v="0"/>
    <n v="977"/>
    <n v="0"/>
    <x v="0"/>
  </r>
  <r>
    <n v="35"/>
    <s v="Maven Toys Chilpancingo 1"/>
    <x v="2"/>
    <n v="15"/>
    <s v="Hot Wheels 5-Pack"/>
    <x v="0"/>
    <n v="0"/>
    <n v="494"/>
    <n v="0"/>
    <x v="0"/>
  </r>
  <r>
    <n v="36"/>
    <s v="Maven Toys Morelia 1"/>
    <x v="2"/>
    <n v="4"/>
    <s v="Chutes &amp; Ladders"/>
    <x v="1"/>
    <n v="0"/>
    <n v="147"/>
    <n v="0"/>
    <x v="0"/>
  </r>
  <r>
    <n v="37"/>
    <s v="Maven Toys Ciudad de Mexico 3"/>
    <x v="0"/>
    <n v="23"/>
    <s v="Mr. Potatohead"/>
    <x v="0"/>
    <n v="0"/>
    <n v="168"/>
    <n v="0"/>
    <x v="0"/>
  </r>
  <r>
    <n v="37"/>
    <s v="Maven Toys Ciudad de Mexico 3"/>
    <x v="0"/>
    <n v="32"/>
    <s v="Supersoaker Water Gun"/>
    <x v="4"/>
    <n v="0"/>
    <n v="152"/>
    <n v="0"/>
    <x v="0"/>
  </r>
  <r>
    <n v="38"/>
    <s v="Maven Toys Chihuahua 2"/>
    <x v="2"/>
    <n v="12"/>
    <s v="Foam Disk Launcher"/>
    <x v="4"/>
    <n v="0"/>
    <n v="175"/>
    <n v="0"/>
    <x v="0"/>
  </r>
  <r>
    <n v="39"/>
    <s v="Maven Toys Xalapa 2"/>
    <x v="2"/>
    <n v="1"/>
    <s v="Action Figure"/>
    <x v="0"/>
    <n v="0"/>
    <n v="1272"/>
    <n v="0"/>
    <x v="0"/>
  </r>
  <r>
    <n v="39"/>
    <s v="Maven Toys Xalapa 2"/>
    <x v="2"/>
    <n v="15"/>
    <s v="Hot Wheels 5-Pack"/>
    <x v="0"/>
    <n v="0"/>
    <n v="478"/>
    <n v="0"/>
    <x v="0"/>
  </r>
  <r>
    <n v="39"/>
    <s v="Maven Toys Xalapa 2"/>
    <x v="2"/>
    <n v="28"/>
    <s v="Playfoam"/>
    <x v="3"/>
    <n v="0"/>
    <n v="67"/>
    <n v="0"/>
    <x v="0"/>
  </r>
  <r>
    <n v="40"/>
    <s v="Maven Toys Toluca 2"/>
    <x v="1"/>
    <n v="28"/>
    <s v="Playfoam"/>
    <x v="3"/>
    <n v="0"/>
    <n v="132"/>
    <n v="0"/>
    <x v="0"/>
  </r>
  <r>
    <n v="41"/>
    <s v="Maven Toys Hermosillo 2"/>
    <x v="2"/>
    <n v="4"/>
    <s v="Chutes &amp; Ladders"/>
    <x v="1"/>
    <n v="0"/>
    <n v="167"/>
    <n v="0"/>
    <x v="0"/>
  </r>
  <r>
    <n v="41"/>
    <s v="Maven Toys Hermosillo 2"/>
    <x v="2"/>
    <n v="11"/>
    <s v="Etch A Sketch"/>
    <x v="3"/>
    <n v="0"/>
    <n v="271"/>
    <n v="0"/>
    <x v="0"/>
  </r>
  <r>
    <n v="41"/>
    <s v="Maven Toys Hermosillo 2"/>
    <x v="2"/>
    <n v="28"/>
    <s v="Playfoam"/>
    <x v="3"/>
    <n v="0"/>
    <n v="237"/>
    <n v="0"/>
    <x v="0"/>
  </r>
  <r>
    <n v="41"/>
    <s v="Maven Toys Hermosillo 2"/>
    <x v="2"/>
    <n v="29"/>
    <s v="Plush Pony"/>
    <x v="0"/>
    <n v="0"/>
    <n v="172"/>
    <n v="0"/>
    <x v="0"/>
  </r>
  <r>
    <n v="42"/>
    <s v="Maven Toys Hermosillo 3"/>
    <x v="1"/>
    <n v="16"/>
    <s v="Jenga"/>
    <x v="1"/>
    <n v="0"/>
    <n v="354"/>
    <n v="0"/>
    <x v="0"/>
  </r>
  <r>
    <n v="42"/>
    <s v="Maven Toys Hermosillo 3"/>
    <x v="1"/>
    <n v="28"/>
    <s v="Playfoam"/>
    <x v="3"/>
    <n v="0"/>
    <n v="105"/>
    <n v="0"/>
    <x v="0"/>
  </r>
  <r>
    <n v="44"/>
    <s v="Maven Toys Puebla 3"/>
    <x v="0"/>
    <n v="1"/>
    <s v="Action Figure"/>
    <x v="0"/>
    <n v="0"/>
    <n v="1535"/>
    <n v="0"/>
    <x v="0"/>
  </r>
  <r>
    <n v="44"/>
    <s v="Maven Toys Puebla 3"/>
    <x v="0"/>
    <n v="11"/>
    <s v="Etch A Sketch"/>
    <x v="3"/>
    <n v="0"/>
    <n v="186"/>
    <n v="0"/>
    <x v="0"/>
  </r>
  <r>
    <n v="45"/>
    <s v="Maven Toys Ciudad de Mexico 4"/>
    <x v="1"/>
    <n v="9"/>
    <s v="Dino Egg"/>
    <x v="0"/>
    <n v="0"/>
    <n v="1025"/>
    <n v="0"/>
    <x v="0"/>
  </r>
  <r>
    <n v="45"/>
    <s v="Maven Toys Ciudad de Mexico 4"/>
    <x v="1"/>
    <n v="28"/>
    <s v="Playfoam"/>
    <x v="3"/>
    <n v="0"/>
    <n v="24"/>
    <n v="0"/>
    <x v="0"/>
  </r>
  <r>
    <n v="44"/>
    <s v="Maven Toys Puebla 3"/>
    <x v="0"/>
    <n v="33"/>
    <s v="Teddy Bear"/>
    <x v="0"/>
    <n v="0"/>
    <n v="193"/>
    <n v="0"/>
    <x v="0"/>
  </r>
  <r>
    <n v="48"/>
    <s v="Maven Toys Saltillo 2"/>
    <x v="1"/>
    <n v="33"/>
    <s v="Teddy Bear"/>
    <x v="0"/>
    <n v="0"/>
    <n v="55"/>
    <n v="0"/>
    <x v="0"/>
  </r>
  <r>
    <n v="49"/>
    <s v="Maven Toys Culiacan 1"/>
    <x v="2"/>
    <n v="2"/>
    <s v="Animal Figures"/>
    <x v="0"/>
    <n v="0"/>
    <n v="693"/>
    <n v="0"/>
    <x v="0"/>
  </r>
  <r>
    <n v="49"/>
    <s v="Maven Toys Culiacan 1"/>
    <x v="2"/>
    <n v="15"/>
    <s v="Hot Wheels 5-Pack"/>
    <x v="0"/>
    <n v="0"/>
    <n v="379"/>
    <n v="0"/>
    <x v="0"/>
  </r>
  <r>
    <n v="50"/>
    <s v="Maven Toys Guanajuato 3"/>
    <x v="0"/>
    <n v="12"/>
    <s v="Foam Disk Launcher"/>
    <x v="4"/>
    <n v="0"/>
    <n v="176"/>
    <n v="0"/>
    <x v="0"/>
  </r>
  <r>
    <n v="50"/>
    <s v="Maven Toys Guanajuato 3"/>
    <x v="0"/>
    <n v="28"/>
    <s v="Playfoam"/>
    <x v="3"/>
    <n v="0"/>
    <n v="91"/>
    <n v="0"/>
    <x v="0"/>
  </r>
  <r>
    <n v="27"/>
    <s v="Maven Toys Oaxaca 1"/>
    <x v="2"/>
    <n v="26"/>
    <s v="PlayDoh Playset"/>
    <x v="3"/>
    <n v="6"/>
    <n v="0"/>
    <n v="9999"/>
    <x v="1"/>
  </r>
  <r>
    <n v="29"/>
    <s v="Maven Toys Xalapa 1"/>
    <x v="1"/>
    <n v="33"/>
    <s v="Teddy Bear"/>
    <x v="0"/>
    <n v="6"/>
    <n v="0"/>
    <n v="9999"/>
    <x v="1"/>
  </r>
  <r>
    <n v="14"/>
    <s v="Maven Toys Guanajuato 1"/>
    <x v="2"/>
    <n v="26"/>
    <s v="PlayDoh Playset"/>
    <x v="3"/>
    <n v="3"/>
    <n v="0"/>
    <n v="9999"/>
    <x v="1"/>
  </r>
  <r>
    <n v="15"/>
    <s v="Maven Toys Tuxtla Gutierrez 1"/>
    <x v="2"/>
    <n v="19"/>
    <s v="Magic Sand"/>
    <x v="3"/>
    <n v="63"/>
    <n v="1218"/>
    <n v="32.9"/>
    <x v="2"/>
  </r>
  <r>
    <n v="15"/>
    <s v="Maven Toys Tuxtla Gutierrez 1"/>
    <x v="2"/>
    <n v="21"/>
    <s v="Mini Ping Pong Set"/>
    <x v="4"/>
    <n v="12"/>
    <n v="1442"/>
    <n v="5.3"/>
    <x v="2"/>
  </r>
  <r>
    <n v="15"/>
    <s v="Maven Toys Tuxtla Gutierrez 1"/>
    <x v="2"/>
    <n v="24"/>
    <s v="Nerf Gun"/>
    <x v="4"/>
    <n v="35"/>
    <n v="646"/>
    <n v="34.5"/>
    <x v="2"/>
  </r>
  <r>
    <n v="15"/>
    <s v="Maven Toys Tuxtla Gutierrez 1"/>
    <x v="2"/>
    <n v="25"/>
    <s v="PlayDoh Can"/>
    <x v="3"/>
    <n v="43"/>
    <n v="1654"/>
    <n v="16.600000000000001"/>
    <x v="2"/>
  </r>
  <r>
    <n v="15"/>
    <s v="Maven Toys Tuxtla Gutierrez 1"/>
    <x v="2"/>
    <n v="27"/>
    <s v="PlayDoh Toolkit"/>
    <x v="3"/>
    <n v="26"/>
    <n v="565"/>
    <n v="29.3"/>
    <x v="2"/>
  </r>
  <r>
    <n v="15"/>
    <s v="Maven Toys Tuxtla Gutierrez 1"/>
    <x v="2"/>
    <n v="33"/>
    <s v="Teddy Bear"/>
    <x v="0"/>
    <n v="8"/>
    <n v="156"/>
    <n v="32.700000000000003"/>
    <x v="2"/>
  </r>
  <r>
    <n v="15"/>
    <s v="Maven Toys Tuxtla Gutierrez 1"/>
    <x v="2"/>
    <n v="34"/>
    <s v="Toy Robot"/>
    <x v="2"/>
    <n v="7"/>
    <n v="198"/>
    <n v="22.5"/>
    <x v="2"/>
  </r>
  <r>
    <n v="16"/>
    <s v="Maven Toys San Luis Potosi 1"/>
    <x v="2"/>
    <n v="1"/>
    <s v="Action Figure"/>
    <x v="0"/>
    <n v="13"/>
    <n v="940"/>
    <n v="8.8000000000000007"/>
    <x v="2"/>
  </r>
  <r>
    <n v="16"/>
    <s v="Maven Toys San Luis Potosi 1"/>
    <x v="2"/>
    <n v="2"/>
    <s v="Animal Figures"/>
    <x v="0"/>
    <n v="28"/>
    <n v="718"/>
    <n v="24.8"/>
    <x v="2"/>
  </r>
  <r>
    <n v="16"/>
    <s v="Maven Toys San Luis Potosi 1"/>
    <x v="2"/>
    <n v="3"/>
    <s v="Barrel O' Slime"/>
    <x v="3"/>
    <n v="37"/>
    <n v="1830"/>
    <n v="12.9"/>
    <x v="2"/>
  </r>
  <r>
    <n v="16"/>
    <s v="Maven Toys San Luis Potosi 1"/>
    <x v="2"/>
    <n v="6"/>
    <s v="Colorbuds"/>
    <x v="2"/>
    <n v="27"/>
    <n v="1470"/>
    <n v="11.7"/>
    <x v="2"/>
  </r>
  <r>
    <n v="16"/>
    <s v="Maven Toys San Luis Potosi 1"/>
    <x v="2"/>
    <n v="7"/>
    <s v="Dart Gun"/>
    <x v="4"/>
    <n v="19"/>
    <n v="729"/>
    <n v="16.600000000000001"/>
    <x v="2"/>
  </r>
  <r>
    <n v="16"/>
    <s v="Maven Toys San Luis Potosi 1"/>
    <x v="2"/>
    <n v="8"/>
    <s v="Deck Of Cards"/>
    <x v="1"/>
    <n v="18"/>
    <n v="1420"/>
    <n v="8.1"/>
    <x v="2"/>
  </r>
  <r>
    <n v="16"/>
    <s v="Maven Toys San Luis Potosi 1"/>
    <x v="2"/>
    <n v="9"/>
    <s v="Dino Egg"/>
    <x v="0"/>
    <n v="8"/>
    <n v="765"/>
    <n v="6.7"/>
    <x v="2"/>
  </r>
  <r>
    <n v="15"/>
    <s v="Maven Toys Tuxtla Gutierrez 1"/>
    <x v="2"/>
    <n v="30"/>
    <s v="Rubik's Cube"/>
    <x v="1"/>
    <n v="13"/>
    <n v="987"/>
    <n v="8.4"/>
    <x v="2"/>
  </r>
  <r>
    <n v="15"/>
    <s v="Maven Toys Tuxtla Gutierrez 1"/>
    <x v="2"/>
    <n v="31"/>
    <s v="Splash Balls"/>
    <x v="4"/>
    <n v="4"/>
    <n v="930"/>
    <n v="2.7"/>
    <x v="2"/>
  </r>
  <r>
    <n v="16"/>
    <s v="Maven Toys San Luis Potosi 1"/>
    <x v="2"/>
    <n v="11"/>
    <s v="Etch A Sketch"/>
    <x v="3"/>
    <n v="12"/>
    <n v="303"/>
    <n v="25.2"/>
    <x v="2"/>
  </r>
  <r>
    <n v="16"/>
    <s v="Maven Toys San Luis Potosi 1"/>
    <x v="2"/>
    <n v="13"/>
    <s v="Gamer Headphones"/>
    <x v="2"/>
    <n v="5"/>
    <n v="325"/>
    <n v="9.8000000000000007"/>
    <x v="2"/>
  </r>
  <r>
    <n v="16"/>
    <s v="Maven Toys San Luis Potosi 1"/>
    <x v="2"/>
    <n v="14"/>
    <s v="Glass Marbles"/>
    <x v="1"/>
    <n v="19"/>
    <n v="444"/>
    <n v="27.3"/>
    <x v="2"/>
  </r>
  <r>
    <n v="16"/>
    <s v="Maven Toys San Luis Potosi 1"/>
    <x v="2"/>
    <n v="15"/>
    <s v="Hot Wheels 5-Pack"/>
    <x v="0"/>
    <n v="1"/>
    <n v="349"/>
    <n v="1.8"/>
    <x v="2"/>
  </r>
  <r>
    <n v="16"/>
    <s v="Maven Toys San Luis Potosi 1"/>
    <x v="2"/>
    <n v="17"/>
    <s v="Kids Makeup Kit"/>
    <x v="3"/>
    <n v="14"/>
    <n v="554"/>
    <n v="16.100000000000001"/>
    <x v="2"/>
  </r>
  <r>
    <n v="16"/>
    <s v="Maven Toys San Luis Potosi 1"/>
    <x v="2"/>
    <n v="18"/>
    <s v="Lego Bricks"/>
    <x v="0"/>
    <n v="27"/>
    <n v="1295"/>
    <n v="13.3"/>
    <x v="2"/>
  </r>
  <r>
    <n v="16"/>
    <s v="Maven Toys San Luis Potosi 1"/>
    <x v="2"/>
    <n v="19"/>
    <s v="Magic Sand"/>
    <x v="3"/>
    <n v="29"/>
    <n v="1570"/>
    <n v="11.8"/>
    <x v="2"/>
  </r>
  <r>
    <n v="16"/>
    <s v="Maven Toys San Luis Potosi 1"/>
    <x v="2"/>
    <n v="20"/>
    <s v="Mini Basketball Hoop"/>
    <x v="4"/>
    <n v="2"/>
    <n v="85"/>
    <n v="15"/>
    <x v="2"/>
  </r>
  <r>
    <n v="16"/>
    <s v="Maven Toys San Luis Potosi 1"/>
    <x v="2"/>
    <n v="23"/>
    <s v="Mr. Potatohead"/>
    <x v="0"/>
    <n v="2"/>
    <n v="113"/>
    <n v="11.3"/>
    <x v="2"/>
  </r>
  <r>
    <n v="16"/>
    <s v="Maven Toys San Luis Potosi 1"/>
    <x v="2"/>
    <n v="24"/>
    <s v="Nerf Gun"/>
    <x v="4"/>
    <n v="6"/>
    <n v="244"/>
    <n v="15.7"/>
    <x v="2"/>
  </r>
  <r>
    <n v="16"/>
    <s v="Maven Toys San Luis Potosi 1"/>
    <x v="2"/>
    <n v="25"/>
    <s v="PlayDoh Can"/>
    <x v="3"/>
    <n v="37"/>
    <n v="2204"/>
    <n v="10.7"/>
    <x v="2"/>
  </r>
  <r>
    <n v="15"/>
    <s v="Maven Toys Tuxtla Gutierrez 1"/>
    <x v="2"/>
    <n v="13"/>
    <s v="Gamer Headphones"/>
    <x v="2"/>
    <n v="13"/>
    <n v="252"/>
    <n v="32.9"/>
    <x v="2"/>
  </r>
  <r>
    <n v="15"/>
    <s v="Maven Toys Tuxtla Gutierrez 1"/>
    <x v="2"/>
    <n v="14"/>
    <s v="Glass Marbles"/>
    <x v="1"/>
    <n v="20"/>
    <n v="454"/>
    <n v="28.1"/>
    <x v="2"/>
  </r>
  <r>
    <n v="15"/>
    <s v="Maven Toys Tuxtla Gutierrez 1"/>
    <x v="2"/>
    <n v="15"/>
    <s v="Hot Wheels 5-Pack"/>
    <x v="0"/>
    <n v="2"/>
    <n v="302"/>
    <n v="4.2"/>
    <x v="2"/>
  </r>
  <r>
    <n v="14"/>
    <s v="Maven Toys Guanajuato 1"/>
    <x v="2"/>
    <n v="30"/>
    <s v="Rubik's Cube"/>
    <x v="1"/>
    <n v="10"/>
    <n v="1060"/>
    <n v="6"/>
    <x v="2"/>
  </r>
  <r>
    <n v="14"/>
    <s v="Maven Toys Guanajuato 1"/>
    <x v="2"/>
    <n v="31"/>
    <s v="Splash Balls"/>
    <x v="4"/>
    <n v="5"/>
    <n v="855"/>
    <n v="3.7"/>
    <x v="2"/>
  </r>
  <r>
    <n v="14"/>
    <s v="Maven Toys Guanajuato 1"/>
    <x v="2"/>
    <n v="32"/>
    <s v="Supersoaker Water Gun"/>
    <x v="4"/>
    <n v="2"/>
    <n v="71"/>
    <n v="17.899999999999999"/>
    <x v="2"/>
  </r>
  <r>
    <n v="14"/>
    <s v="Maven Toys Guanajuato 1"/>
    <x v="2"/>
    <n v="33"/>
    <s v="Teddy Bear"/>
    <x v="0"/>
    <n v="2"/>
    <n v="44"/>
    <n v="29"/>
    <x v="2"/>
  </r>
  <r>
    <n v="15"/>
    <s v="Maven Toys Tuxtla Gutierrez 1"/>
    <x v="2"/>
    <n v="1"/>
    <s v="Action Figure"/>
    <x v="0"/>
    <n v="24"/>
    <n v="1558"/>
    <n v="9.8000000000000007"/>
    <x v="2"/>
  </r>
  <r>
    <n v="15"/>
    <s v="Maven Toys Tuxtla Gutierrez 1"/>
    <x v="2"/>
    <n v="2"/>
    <s v="Animal Figures"/>
    <x v="0"/>
    <n v="5"/>
    <n v="708"/>
    <n v="4.5"/>
    <x v="2"/>
  </r>
  <r>
    <n v="15"/>
    <s v="Maven Toys Tuxtla Gutierrez 1"/>
    <x v="2"/>
    <n v="3"/>
    <s v="Barrel O' Slime"/>
    <x v="3"/>
    <n v="3"/>
    <n v="2501"/>
    <n v="0.8"/>
    <x v="2"/>
  </r>
  <r>
    <n v="15"/>
    <s v="Maven Toys Tuxtla Gutierrez 1"/>
    <x v="2"/>
    <n v="6"/>
    <s v="Colorbuds"/>
    <x v="2"/>
    <n v="29"/>
    <n v="1358"/>
    <n v="13.6"/>
    <x v="2"/>
  </r>
  <r>
    <n v="15"/>
    <s v="Maven Toys Tuxtla Gutierrez 1"/>
    <x v="2"/>
    <n v="7"/>
    <s v="Dart Gun"/>
    <x v="4"/>
    <n v="10"/>
    <n v="616"/>
    <n v="10.3"/>
    <x v="2"/>
  </r>
  <r>
    <n v="15"/>
    <s v="Maven Toys Tuxtla Gutierrez 1"/>
    <x v="2"/>
    <n v="8"/>
    <s v="Deck Of Cards"/>
    <x v="1"/>
    <n v="40"/>
    <n v="1590"/>
    <n v="16"/>
    <x v="2"/>
  </r>
  <r>
    <n v="15"/>
    <s v="Maven Toys Tuxtla Gutierrez 1"/>
    <x v="2"/>
    <n v="9"/>
    <s v="Dino Egg"/>
    <x v="0"/>
    <n v="26"/>
    <n v="822"/>
    <n v="20.100000000000001"/>
    <x v="2"/>
  </r>
  <r>
    <n v="14"/>
    <s v="Maven Toys Guanajuato 1"/>
    <x v="2"/>
    <n v="24"/>
    <s v="Nerf Gun"/>
    <x v="4"/>
    <n v="10"/>
    <n v="655"/>
    <n v="9.6999999999999993"/>
    <x v="2"/>
  </r>
  <r>
    <n v="14"/>
    <s v="Maven Toys Guanajuato 1"/>
    <x v="2"/>
    <n v="25"/>
    <s v="PlayDoh Can"/>
    <x v="3"/>
    <n v="15"/>
    <n v="3690"/>
    <n v="2.6"/>
    <x v="2"/>
  </r>
  <r>
    <n v="14"/>
    <s v="Maven Toys Guanajuato 1"/>
    <x v="2"/>
    <n v="17"/>
    <s v="Kids Makeup Kit"/>
    <x v="3"/>
    <n v="14"/>
    <n v="387"/>
    <n v="23"/>
    <x v="2"/>
  </r>
  <r>
    <n v="14"/>
    <s v="Maven Toys Guanajuato 1"/>
    <x v="2"/>
    <n v="18"/>
    <s v="Lego Bricks"/>
    <x v="0"/>
    <n v="7"/>
    <n v="1726"/>
    <n v="2.6"/>
    <x v="2"/>
  </r>
  <r>
    <n v="13"/>
    <s v="Maven Toys Mexicali 2"/>
    <x v="2"/>
    <n v="33"/>
    <s v="Teddy Bear"/>
    <x v="0"/>
    <n v="3"/>
    <n v="195"/>
    <n v="9.8000000000000007"/>
    <x v="2"/>
  </r>
  <r>
    <n v="13"/>
    <s v="Maven Toys Mexicali 2"/>
    <x v="2"/>
    <n v="34"/>
    <s v="Toy Robot"/>
    <x v="2"/>
    <n v="3"/>
    <n v="396"/>
    <n v="4.8"/>
    <x v="2"/>
  </r>
  <r>
    <n v="14"/>
    <s v="Maven Toys Guanajuato 1"/>
    <x v="2"/>
    <n v="1"/>
    <s v="Action Figure"/>
    <x v="0"/>
    <n v="21"/>
    <n v="1231"/>
    <n v="10.9"/>
    <x v="2"/>
  </r>
  <r>
    <n v="14"/>
    <s v="Maven Toys Guanajuato 1"/>
    <x v="2"/>
    <n v="2"/>
    <s v="Animal Figures"/>
    <x v="0"/>
    <n v="5"/>
    <n v="1381"/>
    <n v="2.2999999999999998"/>
    <x v="2"/>
  </r>
  <r>
    <n v="14"/>
    <s v="Maven Toys Guanajuato 1"/>
    <x v="2"/>
    <n v="3"/>
    <s v="Barrel O' Slime"/>
    <x v="3"/>
    <n v="22"/>
    <n v="2302"/>
    <n v="6.1"/>
    <x v="2"/>
  </r>
  <r>
    <n v="14"/>
    <s v="Maven Toys Guanajuato 1"/>
    <x v="2"/>
    <n v="6"/>
    <s v="Colorbuds"/>
    <x v="2"/>
    <n v="18"/>
    <n v="2535"/>
    <n v="4.5"/>
    <x v="2"/>
  </r>
  <r>
    <n v="14"/>
    <s v="Maven Toys Guanajuato 1"/>
    <x v="2"/>
    <n v="7"/>
    <s v="Dart Gun"/>
    <x v="4"/>
    <n v="13"/>
    <n v="772"/>
    <n v="10.7"/>
    <x v="2"/>
  </r>
  <r>
    <n v="14"/>
    <s v="Maven Toys Guanajuato 1"/>
    <x v="2"/>
    <n v="8"/>
    <s v="Deck Of Cards"/>
    <x v="1"/>
    <n v="57"/>
    <n v="2845"/>
    <n v="12.8"/>
    <x v="2"/>
  </r>
  <r>
    <n v="14"/>
    <s v="Maven Toys Guanajuato 1"/>
    <x v="2"/>
    <n v="9"/>
    <s v="Dino Egg"/>
    <x v="0"/>
    <n v="10"/>
    <n v="920"/>
    <n v="6.9"/>
    <x v="2"/>
  </r>
  <r>
    <n v="14"/>
    <s v="Maven Toys Guanajuato 1"/>
    <x v="2"/>
    <n v="10"/>
    <s v="Dinosaur Figures"/>
    <x v="0"/>
    <n v="32"/>
    <n v="736"/>
    <n v="27.7"/>
    <x v="2"/>
  </r>
  <r>
    <n v="14"/>
    <s v="Maven Toys Guanajuato 1"/>
    <x v="2"/>
    <n v="11"/>
    <s v="Etch A Sketch"/>
    <x v="3"/>
    <n v="10"/>
    <n v="285"/>
    <n v="22.4"/>
    <x v="2"/>
  </r>
  <r>
    <n v="14"/>
    <s v="Maven Toys Guanajuato 1"/>
    <x v="2"/>
    <n v="12"/>
    <s v="Foam Disk Launcher"/>
    <x v="4"/>
    <n v="2"/>
    <n v="109"/>
    <n v="11.7"/>
    <x v="2"/>
  </r>
  <r>
    <n v="14"/>
    <s v="Maven Toys Guanajuato 1"/>
    <x v="2"/>
    <n v="13"/>
    <s v="Gamer Headphones"/>
    <x v="2"/>
    <n v="14"/>
    <n v="402"/>
    <n v="22.2"/>
    <x v="2"/>
  </r>
  <r>
    <n v="14"/>
    <s v="Maven Toys Guanajuato 1"/>
    <x v="2"/>
    <n v="14"/>
    <s v="Glass Marbles"/>
    <x v="1"/>
    <n v="4"/>
    <n v="722"/>
    <n v="3.5"/>
    <x v="2"/>
  </r>
  <r>
    <n v="13"/>
    <s v="Maven Toys Mexicali 2"/>
    <x v="2"/>
    <n v="29"/>
    <s v="Plush Pony"/>
    <x v="0"/>
    <n v="3"/>
    <n v="69"/>
    <n v="27.7"/>
    <x v="2"/>
  </r>
  <r>
    <n v="13"/>
    <s v="Maven Toys Mexicali 2"/>
    <x v="2"/>
    <n v="30"/>
    <s v="Rubik's Cube"/>
    <x v="1"/>
    <n v="17"/>
    <n v="1063"/>
    <n v="10.199999999999999"/>
    <x v="2"/>
  </r>
  <r>
    <n v="13"/>
    <s v="Maven Toys Mexicali 2"/>
    <x v="2"/>
    <n v="31"/>
    <s v="Splash Balls"/>
    <x v="4"/>
    <n v="24"/>
    <n v="1329"/>
    <n v="11.5"/>
    <x v="2"/>
  </r>
  <r>
    <n v="13"/>
    <s v="Maven Toys Mexicali 2"/>
    <x v="2"/>
    <n v="24"/>
    <s v="Nerf Gun"/>
    <x v="4"/>
    <n v="24"/>
    <n v="591"/>
    <n v="25.9"/>
    <x v="2"/>
  </r>
  <r>
    <n v="13"/>
    <s v="Maven Toys Mexicali 2"/>
    <x v="2"/>
    <n v="25"/>
    <s v="PlayDoh Can"/>
    <x v="3"/>
    <n v="37"/>
    <n v="1459"/>
    <n v="16.2"/>
    <x v="2"/>
  </r>
  <r>
    <n v="13"/>
    <s v="Maven Toys Mexicali 2"/>
    <x v="2"/>
    <n v="26"/>
    <s v="PlayDoh Playset"/>
    <x v="3"/>
    <n v="2"/>
    <n v="48"/>
    <n v="26.5"/>
    <x v="2"/>
  </r>
  <r>
    <n v="13"/>
    <s v="Maven Toys Mexicali 2"/>
    <x v="2"/>
    <n v="13"/>
    <s v="Gamer Headphones"/>
    <x v="2"/>
    <n v="14"/>
    <n v="354"/>
    <n v="25.2"/>
    <x v="2"/>
  </r>
  <r>
    <n v="13"/>
    <s v="Maven Toys Mexicali 2"/>
    <x v="2"/>
    <n v="14"/>
    <s v="Glass Marbles"/>
    <x v="1"/>
    <n v="21"/>
    <n v="424"/>
    <n v="31.5"/>
    <x v="2"/>
  </r>
  <r>
    <n v="13"/>
    <s v="Maven Toys Mexicali 2"/>
    <x v="2"/>
    <n v="17"/>
    <s v="Kids Makeup Kit"/>
    <x v="3"/>
    <n v="9"/>
    <n v="450"/>
    <n v="12.7"/>
    <x v="2"/>
  </r>
  <r>
    <n v="13"/>
    <s v="Maven Toys Mexicali 2"/>
    <x v="2"/>
    <n v="18"/>
    <s v="Lego Bricks"/>
    <x v="0"/>
    <n v="47"/>
    <n v="1434"/>
    <n v="20.9"/>
    <x v="2"/>
  </r>
  <r>
    <n v="13"/>
    <s v="Maven Toys Mexicali 2"/>
    <x v="2"/>
    <n v="21"/>
    <s v="Mini Ping Pong Set"/>
    <x v="4"/>
    <n v="9"/>
    <n v="376"/>
    <n v="15.2"/>
    <x v="2"/>
  </r>
  <r>
    <n v="13"/>
    <s v="Maven Toys Mexicali 2"/>
    <x v="2"/>
    <n v="2"/>
    <s v="Animal Figures"/>
    <x v="0"/>
    <n v="2"/>
    <n v="1019"/>
    <n v="1.3"/>
    <x v="2"/>
  </r>
  <r>
    <n v="13"/>
    <s v="Maven Toys Mexicali 2"/>
    <x v="2"/>
    <n v="3"/>
    <s v="Barrel O' Slime"/>
    <x v="3"/>
    <n v="3"/>
    <n v="2587"/>
    <n v="0.7"/>
    <x v="2"/>
  </r>
  <r>
    <n v="13"/>
    <s v="Maven Toys Mexicali 2"/>
    <x v="2"/>
    <n v="6"/>
    <s v="Colorbuds"/>
    <x v="2"/>
    <n v="14"/>
    <n v="1677"/>
    <n v="5.3"/>
    <x v="2"/>
  </r>
  <r>
    <n v="13"/>
    <s v="Maven Toys Mexicali 2"/>
    <x v="2"/>
    <n v="7"/>
    <s v="Dart Gun"/>
    <x v="4"/>
    <n v="16"/>
    <n v="509"/>
    <n v="20"/>
    <x v="2"/>
  </r>
  <r>
    <n v="13"/>
    <s v="Maven Toys Mexicali 2"/>
    <x v="2"/>
    <n v="8"/>
    <s v="Deck Of Cards"/>
    <x v="1"/>
    <n v="66"/>
    <n v="1908"/>
    <n v="22"/>
    <x v="2"/>
  </r>
  <r>
    <n v="12"/>
    <s v="Maven Toys Chetumal 1"/>
    <x v="2"/>
    <n v="25"/>
    <s v="PlayDoh Can"/>
    <x v="3"/>
    <n v="23"/>
    <n v="1624"/>
    <n v="9"/>
    <x v="2"/>
  </r>
  <r>
    <n v="12"/>
    <s v="Maven Toys Chetumal 1"/>
    <x v="2"/>
    <n v="31"/>
    <s v="Splash Balls"/>
    <x v="4"/>
    <n v="13"/>
    <n v="1706"/>
    <n v="4.9000000000000004"/>
    <x v="2"/>
  </r>
  <r>
    <n v="12"/>
    <s v="Maven Toys Chetumal 1"/>
    <x v="2"/>
    <n v="21"/>
    <s v="Mini Ping Pong Set"/>
    <x v="4"/>
    <n v="15"/>
    <n v="439"/>
    <n v="21.8"/>
    <x v="2"/>
  </r>
  <r>
    <n v="12"/>
    <s v="Maven Toys Chetumal 1"/>
    <x v="2"/>
    <n v="22"/>
    <s v="Monopoly"/>
    <x v="1"/>
    <n v="4"/>
    <n v="135"/>
    <n v="18.899999999999999"/>
    <x v="2"/>
  </r>
  <r>
    <n v="12"/>
    <s v="Maven Toys Chetumal 1"/>
    <x v="2"/>
    <n v="14"/>
    <s v="Glass Marbles"/>
    <x v="1"/>
    <n v="13"/>
    <n v="526"/>
    <n v="15.7"/>
    <x v="2"/>
  </r>
  <r>
    <n v="12"/>
    <s v="Maven Toys Chetumal 1"/>
    <x v="2"/>
    <n v="15"/>
    <s v="Hot Wheels 5-Pack"/>
    <x v="0"/>
    <n v="11"/>
    <n v="406"/>
    <n v="17.3"/>
    <x v="2"/>
  </r>
  <r>
    <n v="12"/>
    <s v="Maven Toys Chetumal 1"/>
    <x v="2"/>
    <n v="16"/>
    <s v="Jenga"/>
    <x v="1"/>
    <n v="14"/>
    <n v="273"/>
    <n v="32.700000000000003"/>
    <x v="2"/>
  </r>
  <r>
    <n v="12"/>
    <s v="Maven Toys Chetumal 1"/>
    <x v="2"/>
    <n v="17"/>
    <s v="Kids Makeup Kit"/>
    <x v="3"/>
    <n v="5"/>
    <n v="147"/>
    <n v="21.7"/>
    <x v="2"/>
  </r>
  <r>
    <n v="12"/>
    <s v="Maven Toys Chetumal 1"/>
    <x v="2"/>
    <n v="18"/>
    <s v="Lego Bricks"/>
    <x v="0"/>
    <n v="20"/>
    <n v="1308"/>
    <n v="9.6999999999999993"/>
    <x v="2"/>
  </r>
  <r>
    <n v="12"/>
    <s v="Maven Toys Chetumal 1"/>
    <x v="2"/>
    <n v="19"/>
    <s v="Magic Sand"/>
    <x v="3"/>
    <n v="52"/>
    <n v="1376"/>
    <n v="24.1"/>
    <x v="2"/>
  </r>
  <r>
    <n v="12"/>
    <s v="Maven Toys Chetumal 1"/>
    <x v="2"/>
    <n v="6"/>
    <s v="Colorbuds"/>
    <x v="2"/>
    <n v="23"/>
    <n v="1922"/>
    <n v="7.6"/>
    <x v="2"/>
  </r>
  <r>
    <n v="12"/>
    <s v="Maven Toys Chetumal 1"/>
    <x v="2"/>
    <n v="7"/>
    <s v="Dart Gun"/>
    <x v="4"/>
    <n v="11"/>
    <n v="518"/>
    <n v="13.5"/>
    <x v="2"/>
  </r>
  <r>
    <n v="12"/>
    <s v="Maven Toys Chetumal 1"/>
    <x v="2"/>
    <n v="8"/>
    <s v="Deck Of Cards"/>
    <x v="1"/>
    <n v="61"/>
    <n v="1142"/>
    <n v="34"/>
    <x v="2"/>
  </r>
  <r>
    <n v="12"/>
    <s v="Maven Toys Chetumal 1"/>
    <x v="2"/>
    <n v="9"/>
    <s v="Dino Egg"/>
    <x v="0"/>
    <n v="14"/>
    <n v="732"/>
    <n v="12.2"/>
    <x v="2"/>
  </r>
  <r>
    <n v="12"/>
    <s v="Maven Toys Chetumal 1"/>
    <x v="2"/>
    <n v="10"/>
    <s v="Dinosaur Figures"/>
    <x v="0"/>
    <n v="17"/>
    <n v="691"/>
    <n v="15.7"/>
    <x v="2"/>
  </r>
  <r>
    <n v="11"/>
    <s v="Maven Toys Cuernavaca 1"/>
    <x v="2"/>
    <n v="13"/>
    <s v="Gamer Headphones"/>
    <x v="2"/>
    <n v="2"/>
    <n v="176"/>
    <n v="7.2"/>
    <x v="2"/>
  </r>
  <r>
    <n v="11"/>
    <s v="Maven Toys Cuernavaca 1"/>
    <x v="2"/>
    <n v="14"/>
    <s v="Glass Marbles"/>
    <x v="1"/>
    <n v="18"/>
    <n v="456"/>
    <n v="25.1"/>
    <x v="2"/>
  </r>
  <r>
    <n v="11"/>
    <s v="Maven Toys Cuernavaca 1"/>
    <x v="2"/>
    <n v="15"/>
    <s v="Hot Wheels 5-Pack"/>
    <x v="0"/>
    <n v="7"/>
    <n v="332"/>
    <n v="13.4"/>
    <x v="2"/>
  </r>
  <r>
    <n v="11"/>
    <s v="Maven Toys Cuernavaca 1"/>
    <x v="2"/>
    <n v="17"/>
    <s v="Kids Makeup Kit"/>
    <x v="3"/>
    <n v="5"/>
    <n v="371"/>
    <n v="8.6"/>
    <x v="2"/>
  </r>
  <r>
    <n v="11"/>
    <s v="Maven Toys Cuernavaca 1"/>
    <x v="2"/>
    <n v="18"/>
    <s v="Lego Bricks"/>
    <x v="0"/>
    <n v="34"/>
    <n v="1099"/>
    <n v="19.7"/>
    <x v="2"/>
  </r>
  <r>
    <n v="11"/>
    <s v="Maven Toys Cuernavaca 1"/>
    <x v="2"/>
    <n v="19"/>
    <s v="Magic Sand"/>
    <x v="3"/>
    <n v="51"/>
    <n v="1048"/>
    <n v="31"/>
    <x v="2"/>
  </r>
  <r>
    <n v="11"/>
    <s v="Maven Toys Cuernavaca 1"/>
    <x v="2"/>
    <n v="25"/>
    <s v="PlayDoh Can"/>
    <x v="3"/>
    <n v="70"/>
    <n v="2000"/>
    <n v="22.3"/>
    <x v="2"/>
  </r>
  <r>
    <n v="11"/>
    <s v="Maven Toys Cuernavaca 1"/>
    <x v="2"/>
    <n v="29"/>
    <s v="Plush Pony"/>
    <x v="0"/>
    <n v="4"/>
    <n v="119"/>
    <n v="21.4"/>
    <x v="2"/>
  </r>
  <r>
    <n v="11"/>
    <s v="Maven Toys Cuernavaca 1"/>
    <x v="2"/>
    <n v="30"/>
    <s v="Rubik's Cube"/>
    <x v="1"/>
    <n v="10"/>
    <n v="625"/>
    <n v="10.199999999999999"/>
    <x v="2"/>
  </r>
  <r>
    <n v="11"/>
    <s v="Maven Toys Cuernavaca 1"/>
    <x v="2"/>
    <n v="31"/>
    <s v="Splash Balls"/>
    <x v="4"/>
    <n v="20"/>
    <n v="913"/>
    <n v="14"/>
    <x v="2"/>
  </r>
  <r>
    <n v="11"/>
    <s v="Maven Toys Cuernavaca 1"/>
    <x v="2"/>
    <n v="32"/>
    <s v="Supersoaker Water Gun"/>
    <x v="4"/>
    <n v="4"/>
    <n v="94"/>
    <n v="27.1"/>
    <x v="2"/>
  </r>
  <r>
    <n v="11"/>
    <s v="Maven Toys Cuernavaca 1"/>
    <x v="2"/>
    <n v="34"/>
    <s v="Toy Robot"/>
    <x v="2"/>
    <n v="9"/>
    <n v="220"/>
    <n v="26.1"/>
    <x v="2"/>
  </r>
  <r>
    <n v="12"/>
    <s v="Maven Toys Chetumal 1"/>
    <x v="2"/>
    <n v="1"/>
    <s v="Action Figure"/>
    <x v="0"/>
    <n v="16"/>
    <n v="952"/>
    <n v="10.7"/>
    <x v="2"/>
  </r>
  <r>
    <n v="12"/>
    <s v="Maven Toys Chetumal 1"/>
    <x v="2"/>
    <n v="2"/>
    <s v="Animal Figures"/>
    <x v="0"/>
    <n v="16"/>
    <n v="767"/>
    <n v="13.3"/>
    <x v="2"/>
  </r>
  <r>
    <n v="12"/>
    <s v="Maven Toys Chetumal 1"/>
    <x v="2"/>
    <n v="3"/>
    <s v="Barrel O' Slime"/>
    <x v="3"/>
    <n v="44"/>
    <n v="1344"/>
    <n v="20.9"/>
    <x v="2"/>
  </r>
  <r>
    <n v="20"/>
    <s v="Maven Toys Zacatecas 1"/>
    <x v="2"/>
    <n v="24"/>
    <s v="Nerf Gun"/>
    <x v="4"/>
    <n v="18"/>
    <n v="528"/>
    <n v="21.7"/>
    <x v="2"/>
  </r>
  <r>
    <n v="20"/>
    <s v="Maven Toys Zacatecas 1"/>
    <x v="2"/>
    <n v="25"/>
    <s v="PlayDoh Can"/>
    <x v="3"/>
    <n v="92"/>
    <n v="1768"/>
    <n v="33.1"/>
    <x v="2"/>
  </r>
  <r>
    <n v="20"/>
    <s v="Maven Toys Zacatecas 1"/>
    <x v="2"/>
    <n v="14"/>
    <s v="Glass Marbles"/>
    <x v="1"/>
    <n v="6"/>
    <n v="602"/>
    <n v="6.3"/>
    <x v="2"/>
  </r>
  <r>
    <n v="20"/>
    <s v="Maven Toys Zacatecas 1"/>
    <x v="2"/>
    <n v="18"/>
    <s v="Lego Bricks"/>
    <x v="0"/>
    <n v="8"/>
    <n v="981"/>
    <n v="5.2"/>
    <x v="2"/>
  </r>
  <r>
    <n v="20"/>
    <s v="Maven Toys Zacatecas 1"/>
    <x v="2"/>
    <n v="19"/>
    <s v="Magic Sand"/>
    <x v="3"/>
    <n v="2"/>
    <n v="1739"/>
    <n v="0.7"/>
    <x v="2"/>
  </r>
  <r>
    <n v="21"/>
    <s v="Maven Toys Santiago 1"/>
    <x v="2"/>
    <n v="1"/>
    <s v="Action Figure"/>
    <x v="0"/>
    <n v="7"/>
    <n v="1261"/>
    <n v="3.5"/>
    <x v="2"/>
  </r>
  <r>
    <n v="21"/>
    <s v="Maven Toys Santiago 1"/>
    <x v="2"/>
    <n v="2"/>
    <s v="Animal Figures"/>
    <x v="0"/>
    <n v="24"/>
    <n v="800"/>
    <n v="19.100000000000001"/>
    <x v="2"/>
  </r>
  <r>
    <n v="21"/>
    <s v="Maven Toys Santiago 1"/>
    <x v="2"/>
    <n v="3"/>
    <s v="Barrel O' Slime"/>
    <x v="3"/>
    <n v="74"/>
    <n v="1797"/>
    <n v="26.2"/>
    <x v="2"/>
  </r>
  <r>
    <n v="21"/>
    <s v="Maven Toys Santiago 1"/>
    <x v="2"/>
    <n v="6"/>
    <s v="Colorbuds"/>
    <x v="2"/>
    <n v="10"/>
    <n v="1424"/>
    <n v="4.5"/>
    <x v="2"/>
  </r>
  <r>
    <n v="21"/>
    <s v="Maven Toys Santiago 1"/>
    <x v="2"/>
    <n v="7"/>
    <s v="Dart Gun"/>
    <x v="4"/>
    <n v="8"/>
    <n v="574"/>
    <n v="8.9"/>
    <x v="2"/>
  </r>
  <r>
    <n v="21"/>
    <s v="Maven Toys Santiago 1"/>
    <x v="2"/>
    <n v="8"/>
    <s v="Deck Of Cards"/>
    <x v="1"/>
    <n v="11"/>
    <n v="1411"/>
    <n v="5"/>
    <x v="2"/>
  </r>
  <r>
    <n v="21"/>
    <s v="Maven Toys Santiago 1"/>
    <x v="2"/>
    <n v="9"/>
    <s v="Dino Egg"/>
    <x v="0"/>
    <n v="26"/>
    <n v="774"/>
    <n v="21.4"/>
    <x v="2"/>
  </r>
  <r>
    <n v="21"/>
    <s v="Maven Toys Santiago 1"/>
    <x v="2"/>
    <n v="10"/>
    <s v="Dinosaur Figures"/>
    <x v="0"/>
    <n v="13"/>
    <n v="537"/>
    <n v="15.4"/>
    <x v="2"/>
  </r>
  <r>
    <n v="21"/>
    <s v="Maven Toys Santiago 1"/>
    <x v="2"/>
    <n v="11"/>
    <s v="Etch A Sketch"/>
    <x v="3"/>
    <n v="11"/>
    <n v="485"/>
    <n v="14.4"/>
    <x v="2"/>
  </r>
  <r>
    <n v="21"/>
    <s v="Maven Toys Santiago 1"/>
    <x v="2"/>
    <n v="13"/>
    <s v="Gamer Headphones"/>
    <x v="2"/>
    <n v="5"/>
    <n v="364"/>
    <n v="8.8000000000000007"/>
    <x v="2"/>
  </r>
  <r>
    <n v="21"/>
    <s v="Maven Toys Santiago 1"/>
    <x v="2"/>
    <n v="14"/>
    <s v="Glass Marbles"/>
    <x v="1"/>
    <n v="4"/>
    <n v="600"/>
    <n v="4.2"/>
    <x v="2"/>
  </r>
  <r>
    <n v="21"/>
    <s v="Maven Toys Santiago 1"/>
    <x v="2"/>
    <n v="15"/>
    <s v="Hot Wheels 5-Pack"/>
    <x v="0"/>
    <n v="9"/>
    <n v="294"/>
    <n v="19.5"/>
    <x v="2"/>
  </r>
  <r>
    <n v="21"/>
    <s v="Maven Toys Santiago 1"/>
    <x v="2"/>
    <n v="17"/>
    <s v="Kids Makeup Kit"/>
    <x v="3"/>
    <n v="4"/>
    <n v="373"/>
    <n v="6.8"/>
    <x v="2"/>
  </r>
  <r>
    <n v="21"/>
    <s v="Maven Toys Santiago 1"/>
    <x v="2"/>
    <n v="18"/>
    <s v="Lego Bricks"/>
    <x v="0"/>
    <n v="6"/>
    <n v="1283"/>
    <n v="3"/>
    <x v="2"/>
  </r>
  <r>
    <n v="21"/>
    <s v="Maven Toys Santiago 1"/>
    <x v="2"/>
    <n v="19"/>
    <s v="Magic Sand"/>
    <x v="3"/>
    <n v="49"/>
    <n v="1857"/>
    <n v="16.8"/>
    <x v="2"/>
  </r>
  <r>
    <n v="21"/>
    <s v="Maven Toys Santiago 1"/>
    <x v="2"/>
    <n v="21"/>
    <s v="Mini Ping Pong Set"/>
    <x v="4"/>
    <n v="14"/>
    <n v="287"/>
    <n v="31.1"/>
    <x v="2"/>
  </r>
  <r>
    <n v="20"/>
    <s v="Maven Toys Zacatecas 1"/>
    <x v="2"/>
    <n v="30"/>
    <s v="Rubik's Cube"/>
    <x v="1"/>
    <n v="17"/>
    <n v="841"/>
    <n v="12.9"/>
    <x v="2"/>
  </r>
  <r>
    <n v="20"/>
    <s v="Maven Toys Zacatecas 1"/>
    <x v="2"/>
    <n v="31"/>
    <s v="Splash Balls"/>
    <x v="4"/>
    <n v="10"/>
    <n v="659"/>
    <n v="9.6999999999999993"/>
    <x v="2"/>
  </r>
  <r>
    <n v="21"/>
    <s v="Maven Toys Santiago 1"/>
    <x v="2"/>
    <n v="25"/>
    <s v="PlayDoh Can"/>
    <x v="3"/>
    <n v="46"/>
    <n v="2295"/>
    <n v="12.8"/>
    <x v="2"/>
  </r>
  <r>
    <n v="19"/>
    <s v="Maven Toys Puebla 1"/>
    <x v="1"/>
    <n v="30"/>
    <s v="Rubik's Cube"/>
    <x v="1"/>
    <n v="7"/>
    <n v="776"/>
    <n v="5.7"/>
    <x v="2"/>
  </r>
  <r>
    <n v="19"/>
    <s v="Maven Toys Puebla 1"/>
    <x v="1"/>
    <n v="31"/>
    <s v="Splash Balls"/>
    <x v="4"/>
    <n v="4"/>
    <n v="612"/>
    <n v="4.2"/>
    <x v="2"/>
  </r>
  <r>
    <n v="19"/>
    <s v="Maven Toys Puebla 1"/>
    <x v="1"/>
    <n v="32"/>
    <s v="Supersoaker Water Gun"/>
    <x v="4"/>
    <n v="5"/>
    <n v="106"/>
    <n v="30"/>
    <x v="2"/>
  </r>
  <r>
    <n v="19"/>
    <s v="Maven Toys Puebla 1"/>
    <x v="1"/>
    <n v="24"/>
    <s v="Nerf Gun"/>
    <x v="4"/>
    <n v="16"/>
    <n v="458"/>
    <n v="22.3"/>
    <x v="2"/>
  </r>
  <r>
    <n v="19"/>
    <s v="Maven Toys Puebla 1"/>
    <x v="1"/>
    <n v="25"/>
    <s v="PlayDoh Can"/>
    <x v="3"/>
    <n v="18"/>
    <n v="1561"/>
    <n v="7.3"/>
    <x v="2"/>
  </r>
  <r>
    <n v="19"/>
    <s v="Maven Toys Puebla 1"/>
    <x v="1"/>
    <n v="26"/>
    <s v="PlayDoh Playset"/>
    <x v="3"/>
    <n v="5"/>
    <n v="235"/>
    <n v="13.6"/>
    <x v="2"/>
  </r>
  <r>
    <n v="19"/>
    <s v="Maven Toys Puebla 1"/>
    <x v="1"/>
    <n v="27"/>
    <s v="PlayDoh Toolkit"/>
    <x v="3"/>
    <n v="27"/>
    <n v="609"/>
    <n v="28.2"/>
    <x v="2"/>
  </r>
  <r>
    <n v="20"/>
    <s v="Maven Toys Zacatecas 1"/>
    <x v="2"/>
    <n v="1"/>
    <s v="Action Figure"/>
    <x v="0"/>
    <n v="38"/>
    <n v="1017"/>
    <n v="23.8"/>
    <x v="2"/>
  </r>
  <r>
    <n v="20"/>
    <s v="Maven Toys Zacatecas 1"/>
    <x v="2"/>
    <n v="2"/>
    <s v="Animal Figures"/>
    <x v="0"/>
    <n v="2"/>
    <n v="635"/>
    <n v="2"/>
    <x v="2"/>
  </r>
  <r>
    <n v="20"/>
    <s v="Maven Toys Zacatecas 1"/>
    <x v="2"/>
    <n v="3"/>
    <s v="Barrel O' Slime"/>
    <x v="3"/>
    <n v="24"/>
    <n v="2138"/>
    <n v="7.2"/>
    <x v="2"/>
  </r>
  <r>
    <n v="20"/>
    <s v="Maven Toys Zacatecas 1"/>
    <x v="2"/>
    <n v="6"/>
    <s v="Colorbuds"/>
    <x v="2"/>
    <n v="4"/>
    <n v="993"/>
    <n v="2.6"/>
    <x v="2"/>
  </r>
  <r>
    <n v="20"/>
    <s v="Maven Toys Zacatecas 1"/>
    <x v="2"/>
    <n v="7"/>
    <s v="Dart Gun"/>
    <x v="4"/>
    <n v="9"/>
    <n v="582"/>
    <n v="9.9"/>
    <x v="2"/>
  </r>
  <r>
    <n v="20"/>
    <s v="Maven Toys Zacatecas 1"/>
    <x v="2"/>
    <n v="9"/>
    <s v="Dino Egg"/>
    <x v="0"/>
    <n v="9"/>
    <n v="513"/>
    <n v="11.2"/>
    <x v="2"/>
  </r>
  <r>
    <n v="20"/>
    <s v="Maven Toys Zacatecas 1"/>
    <x v="2"/>
    <n v="10"/>
    <s v="Dinosaur Figures"/>
    <x v="0"/>
    <n v="34"/>
    <n v="754"/>
    <n v="28.7"/>
    <x v="2"/>
  </r>
  <r>
    <n v="20"/>
    <s v="Maven Toys Zacatecas 1"/>
    <x v="2"/>
    <n v="11"/>
    <s v="Etch A Sketch"/>
    <x v="3"/>
    <n v="3"/>
    <n v="312"/>
    <n v="6.1"/>
    <x v="2"/>
  </r>
  <r>
    <n v="20"/>
    <s v="Maven Toys Zacatecas 1"/>
    <x v="2"/>
    <n v="12"/>
    <s v="Foam Disk Launcher"/>
    <x v="4"/>
    <n v="4"/>
    <n v="76"/>
    <n v="33.5"/>
    <x v="2"/>
  </r>
  <r>
    <n v="19"/>
    <s v="Maven Toys Puebla 1"/>
    <x v="1"/>
    <n v="16"/>
    <s v="Jenga"/>
    <x v="1"/>
    <n v="2"/>
    <n v="309"/>
    <n v="4.0999999999999996"/>
    <x v="2"/>
  </r>
  <r>
    <n v="19"/>
    <s v="Maven Toys Puebla 1"/>
    <x v="1"/>
    <n v="17"/>
    <s v="Kids Makeup Kit"/>
    <x v="3"/>
    <n v="5"/>
    <n v="418"/>
    <n v="7.6"/>
    <x v="2"/>
  </r>
  <r>
    <n v="19"/>
    <s v="Maven Toys Puebla 1"/>
    <x v="1"/>
    <n v="18"/>
    <s v="Lego Bricks"/>
    <x v="0"/>
    <n v="19"/>
    <n v="998"/>
    <n v="12.1"/>
    <x v="2"/>
  </r>
  <r>
    <n v="19"/>
    <s v="Maven Toys Puebla 1"/>
    <x v="1"/>
    <n v="19"/>
    <s v="Magic Sand"/>
    <x v="3"/>
    <n v="37"/>
    <n v="1142"/>
    <n v="20.6"/>
    <x v="2"/>
  </r>
  <r>
    <n v="18"/>
    <s v="Maven Toys Merida 1"/>
    <x v="2"/>
    <n v="34"/>
    <s v="Toy Robot"/>
    <x v="2"/>
    <n v="8"/>
    <n v="263"/>
    <n v="19.399999999999999"/>
    <x v="2"/>
  </r>
  <r>
    <n v="19"/>
    <s v="Maven Toys Puebla 1"/>
    <x v="1"/>
    <n v="22"/>
    <s v="Monopoly"/>
    <x v="1"/>
    <n v="3"/>
    <n v="76"/>
    <n v="25.1"/>
    <x v="2"/>
  </r>
  <r>
    <n v="19"/>
    <s v="Maven Toys Puebla 1"/>
    <x v="1"/>
    <n v="12"/>
    <s v="Foam Disk Launcher"/>
    <x v="4"/>
    <n v="3"/>
    <n v="247"/>
    <n v="7.7"/>
    <x v="2"/>
  </r>
  <r>
    <n v="19"/>
    <s v="Maven Toys Puebla 1"/>
    <x v="1"/>
    <n v="13"/>
    <s v="Gamer Headphones"/>
    <x v="2"/>
    <n v="7"/>
    <n v="499"/>
    <n v="8.9"/>
    <x v="2"/>
  </r>
  <r>
    <n v="19"/>
    <s v="Maven Toys Puebla 1"/>
    <x v="1"/>
    <n v="14"/>
    <s v="Glass Marbles"/>
    <x v="1"/>
    <n v="4"/>
    <n v="726"/>
    <n v="3.5"/>
    <x v="2"/>
  </r>
  <r>
    <n v="19"/>
    <s v="Maven Toys Puebla 1"/>
    <x v="1"/>
    <n v="6"/>
    <s v="Colorbuds"/>
    <x v="2"/>
    <n v="11"/>
    <n v="2565"/>
    <n v="2.7"/>
    <x v="2"/>
  </r>
  <r>
    <n v="19"/>
    <s v="Maven Toys Puebla 1"/>
    <x v="1"/>
    <n v="7"/>
    <s v="Dart Gun"/>
    <x v="4"/>
    <n v="16"/>
    <n v="614"/>
    <n v="16.600000000000001"/>
    <x v="2"/>
  </r>
  <r>
    <n v="19"/>
    <s v="Maven Toys Puebla 1"/>
    <x v="1"/>
    <n v="8"/>
    <s v="Deck Of Cards"/>
    <x v="1"/>
    <n v="84"/>
    <n v="2522"/>
    <n v="21.2"/>
    <x v="2"/>
  </r>
  <r>
    <n v="19"/>
    <s v="Maven Toys Puebla 1"/>
    <x v="1"/>
    <n v="9"/>
    <s v="Dino Egg"/>
    <x v="0"/>
    <n v="8"/>
    <n v="676"/>
    <n v="7.5"/>
    <x v="2"/>
  </r>
  <r>
    <n v="18"/>
    <s v="Maven Toys Merida 1"/>
    <x v="2"/>
    <n v="25"/>
    <s v="PlayDoh Can"/>
    <x v="3"/>
    <n v="74"/>
    <n v="2337"/>
    <n v="20.2"/>
    <x v="2"/>
  </r>
  <r>
    <n v="18"/>
    <s v="Maven Toys Merida 1"/>
    <x v="2"/>
    <n v="26"/>
    <s v="PlayDoh Playset"/>
    <x v="3"/>
    <n v="2"/>
    <n v="162"/>
    <n v="7.9"/>
    <x v="2"/>
  </r>
  <r>
    <n v="17"/>
    <s v="Maven Toys Toluca 1"/>
    <x v="2"/>
    <n v="34"/>
    <s v="Toy Robot"/>
    <x v="2"/>
    <n v="11"/>
    <n v="283"/>
    <n v="24.8"/>
    <x v="2"/>
  </r>
  <r>
    <n v="18"/>
    <s v="Maven Toys Merida 1"/>
    <x v="2"/>
    <n v="1"/>
    <s v="Action Figure"/>
    <x v="0"/>
    <n v="1"/>
    <n v="848"/>
    <n v="0.8"/>
    <x v="2"/>
  </r>
  <r>
    <n v="18"/>
    <s v="Maven Toys Merida 1"/>
    <x v="2"/>
    <n v="2"/>
    <s v="Animal Figures"/>
    <x v="0"/>
    <n v="12"/>
    <n v="708"/>
    <n v="10.8"/>
    <x v="2"/>
  </r>
  <r>
    <n v="18"/>
    <s v="Maven Toys Merida 1"/>
    <x v="2"/>
    <n v="3"/>
    <s v="Barrel O' Slime"/>
    <x v="3"/>
    <n v="64"/>
    <n v="1802"/>
    <n v="22.6"/>
    <x v="2"/>
  </r>
  <r>
    <n v="18"/>
    <s v="Maven Toys Merida 1"/>
    <x v="2"/>
    <n v="30"/>
    <s v="Rubik's Cube"/>
    <x v="1"/>
    <n v="15"/>
    <n v="817"/>
    <n v="11.7"/>
    <x v="2"/>
  </r>
  <r>
    <n v="18"/>
    <s v="Maven Toys Merida 1"/>
    <x v="2"/>
    <n v="31"/>
    <s v="Splash Balls"/>
    <x v="4"/>
    <n v="4"/>
    <n v="1128"/>
    <n v="2.2999999999999998"/>
    <x v="2"/>
  </r>
  <r>
    <n v="19"/>
    <s v="Maven Toys Puebla 1"/>
    <x v="1"/>
    <n v="1"/>
    <s v="Action Figure"/>
    <x v="0"/>
    <n v="5"/>
    <n v="707"/>
    <n v="4.5"/>
    <x v="2"/>
  </r>
  <r>
    <n v="19"/>
    <s v="Maven Toys Puebla 1"/>
    <x v="1"/>
    <n v="2"/>
    <s v="Animal Figures"/>
    <x v="0"/>
    <n v="14"/>
    <n v="399"/>
    <n v="22.4"/>
    <x v="2"/>
  </r>
  <r>
    <n v="19"/>
    <s v="Maven Toys Puebla 1"/>
    <x v="1"/>
    <n v="3"/>
    <s v="Barrel O' Slime"/>
    <x v="3"/>
    <n v="7"/>
    <n v="1266"/>
    <n v="3.5"/>
    <x v="2"/>
  </r>
  <r>
    <n v="18"/>
    <s v="Maven Toys Merida 1"/>
    <x v="2"/>
    <n v="5"/>
    <s v="Classic Dominoes"/>
    <x v="1"/>
    <n v="7"/>
    <n v="198"/>
    <n v="22.5"/>
    <x v="2"/>
  </r>
  <r>
    <n v="18"/>
    <s v="Maven Toys Merida 1"/>
    <x v="2"/>
    <n v="6"/>
    <s v="Colorbuds"/>
    <x v="2"/>
    <n v="22"/>
    <n v="1590"/>
    <n v="8.8000000000000007"/>
    <x v="2"/>
  </r>
  <r>
    <n v="18"/>
    <s v="Maven Toys Merida 1"/>
    <x v="2"/>
    <n v="7"/>
    <s v="Dart Gun"/>
    <x v="4"/>
    <n v="16"/>
    <n v="549"/>
    <n v="18.600000000000001"/>
    <x v="2"/>
  </r>
  <r>
    <n v="18"/>
    <s v="Maven Toys Merida 1"/>
    <x v="2"/>
    <n v="8"/>
    <s v="Deck Of Cards"/>
    <x v="1"/>
    <n v="52"/>
    <n v="1142"/>
    <n v="29"/>
    <x v="2"/>
  </r>
  <r>
    <n v="18"/>
    <s v="Maven Toys Merida 1"/>
    <x v="2"/>
    <n v="15"/>
    <s v="Hot Wheels 5-Pack"/>
    <x v="0"/>
    <n v="5"/>
    <n v="471"/>
    <n v="6.8"/>
    <x v="2"/>
  </r>
  <r>
    <n v="18"/>
    <s v="Maven Toys Merida 1"/>
    <x v="2"/>
    <n v="16"/>
    <s v="Jenga"/>
    <x v="1"/>
    <n v="10"/>
    <n v="422"/>
    <n v="15.1"/>
    <x v="2"/>
  </r>
  <r>
    <n v="18"/>
    <s v="Maven Toys Merida 1"/>
    <x v="2"/>
    <n v="17"/>
    <s v="Kids Makeup Kit"/>
    <x v="3"/>
    <n v="19"/>
    <n v="448"/>
    <n v="27"/>
    <x v="2"/>
  </r>
  <r>
    <n v="18"/>
    <s v="Maven Toys Merida 1"/>
    <x v="2"/>
    <n v="18"/>
    <s v="Lego Bricks"/>
    <x v="0"/>
    <n v="29"/>
    <n v="827"/>
    <n v="22.3"/>
    <x v="2"/>
  </r>
  <r>
    <n v="18"/>
    <s v="Maven Toys Merida 1"/>
    <x v="2"/>
    <n v="19"/>
    <s v="Magic Sand"/>
    <x v="3"/>
    <n v="15"/>
    <n v="1171"/>
    <n v="8.1999999999999993"/>
    <x v="2"/>
  </r>
  <r>
    <n v="18"/>
    <s v="Maven Toys Merida 1"/>
    <x v="2"/>
    <n v="20"/>
    <s v="Mini Basketball Hoop"/>
    <x v="4"/>
    <n v="3"/>
    <n v="59"/>
    <n v="32.4"/>
    <x v="2"/>
  </r>
  <r>
    <n v="16"/>
    <s v="Maven Toys San Luis Potosi 1"/>
    <x v="2"/>
    <n v="27"/>
    <s v="PlayDoh Toolkit"/>
    <x v="3"/>
    <n v="15"/>
    <n v="312"/>
    <n v="30.6"/>
    <x v="2"/>
  </r>
  <r>
    <n v="16"/>
    <s v="Maven Toys San Luis Potosi 1"/>
    <x v="2"/>
    <n v="31"/>
    <s v="Splash Balls"/>
    <x v="4"/>
    <n v="14"/>
    <n v="1270"/>
    <n v="7"/>
    <x v="2"/>
  </r>
  <r>
    <n v="16"/>
    <s v="Maven Toys San Luis Potosi 1"/>
    <x v="2"/>
    <n v="33"/>
    <s v="Teddy Bear"/>
    <x v="0"/>
    <n v="6"/>
    <n v="147"/>
    <n v="26"/>
    <x v="2"/>
  </r>
  <r>
    <n v="16"/>
    <s v="Maven Toys San Luis Potosi 1"/>
    <x v="2"/>
    <n v="34"/>
    <s v="Toy Robot"/>
    <x v="2"/>
    <n v="2"/>
    <n v="378"/>
    <n v="3.4"/>
    <x v="2"/>
  </r>
  <r>
    <n v="17"/>
    <s v="Maven Toys Toluca 1"/>
    <x v="2"/>
    <n v="1"/>
    <s v="Action Figure"/>
    <x v="0"/>
    <n v="22"/>
    <n v="1809"/>
    <n v="7.7"/>
    <x v="2"/>
  </r>
  <r>
    <n v="17"/>
    <s v="Maven Toys Toluca 1"/>
    <x v="2"/>
    <n v="2"/>
    <s v="Animal Figures"/>
    <x v="0"/>
    <n v="15"/>
    <n v="1317"/>
    <n v="7.3"/>
    <x v="2"/>
  </r>
  <r>
    <n v="17"/>
    <s v="Maven Toys Toluca 1"/>
    <x v="2"/>
    <n v="3"/>
    <s v="Barrel O' Slime"/>
    <x v="3"/>
    <n v="8"/>
    <n v="4218"/>
    <n v="1.2"/>
    <x v="2"/>
  </r>
  <r>
    <n v="17"/>
    <s v="Maven Toys Toluca 1"/>
    <x v="2"/>
    <n v="6"/>
    <s v="Colorbuds"/>
    <x v="2"/>
    <n v="16"/>
    <n v="1164"/>
    <n v="8.8000000000000007"/>
    <x v="2"/>
  </r>
  <r>
    <n v="17"/>
    <s v="Maven Toys Toluca 1"/>
    <x v="2"/>
    <n v="7"/>
    <s v="Dart Gun"/>
    <x v="4"/>
    <n v="20"/>
    <n v="1173"/>
    <n v="10.9"/>
    <x v="2"/>
  </r>
  <r>
    <n v="17"/>
    <s v="Maven Toys Toluca 1"/>
    <x v="2"/>
    <n v="8"/>
    <s v="Deck Of Cards"/>
    <x v="1"/>
    <n v="20"/>
    <n v="1972"/>
    <n v="6.5"/>
    <x v="2"/>
  </r>
  <r>
    <n v="17"/>
    <s v="Maven Toys Toluca 1"/>
    <x v="2"/>
    <n v="9"/>
    <s v="Dino Egg"/>
    <x v="0"/>
    <n v="7"/>
    <n v="1419"/>
    <n v="3.1"/>
    <x v="2"/>
  </r>
  <r>
    <n v="17"/>
    <s v="Maven Toys Toluca 1"/>
    <x v="2"/>
    <n v="11"/>
    <s v="Etch A Sketch"/>
    <x v="3"/>
    <n v="6"/>
    <n v="542"/>
    <n v="7.1"/>
    <x v="2"/>
  </r>
  <r>
    <n v="17"/>
    <s v="Maven Toys Toluca 1"/>
    <x v="2"/>
    <n v="12"/>
    <s v="Foam Disk Launcher"/>
    <x v="4"/>
    <n v="10"/>
    <n v="290"/>
    <n v="22"/>
    <x v="2"/>
  </r>
  <r>
    <n v="17"/>
    <s v="Maven Toys Toluca 1"/>
    <x v="2"/>
    <n v="13"/>
    <s v="Gamer Headphones"/>
    <x v="2"/>
    <n v="16"/>
    <n v="323"/>
    <n v="31.6"/>
    <x v="2"/>
  </r>
  <r>
    <n v="17"/>
    <s v="Maven Toys Toluca 1"/>
    <x v="2"/>
    <n v="14"/>
    <s v="Glass Marbles"/>
    <x v="1"/>
    <n v="4"/>
    <n v="636"/>
    <n v="4"/>
    <x v="2"/>
  </r>
  <r>
    <n v="17"/>
    <s v="Maven Toys Toluca 1"/>
    <x v="2"/>
    <n v="15"/>
    <s v="Hot Wheels 5-Pack"/>
    <x v="0"/>
    <n v="11"/>
    <n v="393"/>
    <n v="17.8"/>
    <x v="2"/>
  </r>
  <r>
    <n v="17"/>
    <s v="Maven Toys Toluca 1"/>
    <x v="2"/>
    <n v="17"/>
    <s v="Kids Makeup Kit"/>
    <x v="3"/>
    <n v="27"/>
    <n v="805"/>
    <n v="21.4"/>
    <x v="2"/>
  </r>
  <r>
    <n v="17"/>
    <s v="Maven Toys Toluca 1"/>
    <x v="2"/>
    <n v="18"/>
    <s v="Lego Bricks"/>
    <x v="0"/>
    <n v="27"/>
    <n v="1646"/>
    <n v="10.4"/>
    <x v="2"/>
  </r>
  <r>
    <n v="17"/>
    <s v="Maven Toys Toluca 1"/>
    <x v="2"/>
    <n v="19"/>
    <s v="Magic Sand"/>
    <x v="3"/>
    <n v="53"/>
    <n v="2620"/>
    <n v="12.9"/>
    <x v="2"/>
  </r>
  <r>
    <n v="17"/>
    <s v="Maven Toys Toluca 1"/>
    <x v="2"/>
    <n v="24"/>
    <s v="Nerf Gun"/>
    <x v="4"/>
    <n v="27"/>
    <n v="918"/>
    <n v="18.7"/>
    <x v="2"/>
  </r>
  <r>
    <n v="17"/>
    <s v="Maven Toys Toluca 1"/>
    <x v="2"/>
    <n v="25"/>
    <s v="PlayDoh Can"/>
    <x v="3"/>
    <n v="59"/>
    <n v="3676"/>
    <n v="10.199999999999999"/>
    <x v="2"/>
  </r>
  <r>
    <n v="17"/>
    <s v="Maven Toys Toluca 1"/>
    <x v="2"/>
    <n v="27"/>
    <s v="PlayDoh Toolkit"/>
    <x v="3"/>
    <n v="12"/>
    <n v="751"/>
    <n v="10.199999999999999"/>
    <x v="2"/>
  </r>
  <r>
    <n v="17"/>
    <s v="Maven Toys Toluca 1"/>
    <x v="2"/>
    <n v="28"/>
    <s v="Playfoam"/>
    <x v="3"/>
    <n v="3"/>
    <n v="163"/>
    <n v="11.7"/>
    <x v="2"/>
  </r>
  <r>
    <n v="17"/>
    <s v="Maven Toys Toluca 1"/>
    <x v="2"/>
    <n v="30"/>
    <s v="Rubik's Cube"/>
    <x v="1"/>
    <n v="22"/>
    <n v="1301"/>
    <n v="10.8"/>
    <x v="2"/>
  </r>
  <r>
    <n v="17"/>
    <s v="Maven Toys Toluca 1"/>
    <x v="2"/>
    <n v="31"/>
    <s v="Splash Balls"/>
    <x v="4"/>
    <n v="20"/>
    <n v="2730"/>
    <n v="4.7"/>
    <x v="2"/>
  </r>
  <r>
    <n v="8"/>
    <s v="Maven Toys Pachuca 1"/>
    <x v="2"/>
    <n v="17"/>
    <s v="Kids Makeup Kit"/>
    <x v="3"/>
    <n v="5"/>
    <n v="607"/>
    <n v="5.2"/>
    <x v="2"/>
  </r>
  <r>
    <n v="8"/>
    <s v="Maven Toys Pachuca 1"/>
    <x v="2"/>
    <n v="18"/>
    <s v="Lego Bricks"/>
    <x v="0"/>
    <n v="18"/>
    <n v="502"/>
    <n v="22.8"/>
    <x v="2"/>
  </r>
  <r>
    <n v="8"/>
    <s v="Maven Toys Pachuca 1"/>
    <x v="2"/>
    <n v="19"/>
    <s v="Magic Sand"/>
    <x v="3"/>
    <n v="11"/>
    <n v="1402"/>
    <n v="5"/>
    <x v="2"/>
  </r>
  <r>
    <n v="8"/>
    <s v="Maven Toys Pachuca 1"/>
    <x v="2"/>
    <n v="11"/>
    <s v="Etch A Sketch"/>
    <x v="3"/>
    <n v="8"/>
    <n v="252"/>
    <n v="20.2"/>
    <x v="2"/>
  </r>
  <r>
    <n v="8"/>
    <s v="Maven Toys Pachuca 1"/>
    <x v="2"/>
    <n v="12"/>
    <s v="Foam Disk Launcher"/>
    <x v="4"/>
    <n v="4"/>
    <n v="215"/>
    <n v="11.9"/>
    <x v="2"/>
  </r>
  <r>
    <n v="8"/>
    <s v="Maven Toys Pachuca 1"/>
    <x v="2"/>
    <n v="21"/>
    <s v="Mini Ping Pong Set"/>
    <x v="4"/>
    <n v="37"/>
    <n v="1341"/>
    <n v="17.600000000000001"/>
    <x v="2"/>
  </r>
  <r>
    <n v="8"/>
    <s v="Maven Toys Pachuca 1"/>
    <x v="2"/>
    <n v="23"/>
    <s v="Mr. Potatohead"/>
    <x v="0"/>
    <n v="8"/>
    <n v="183"/>
    <n v="27.8"/>
    <x v="2"/>
  </r>
  <r>
    <n v="8"/>
    <s v="Maven Toys Pachuca 1"/>
    <x v="2"/>
    <n v="24"/>
    <s v="Nerf Gun"/>
    <x v="4"/>
    <n v="7"/>
    <n v="562"/>
    <n v="7.9"/>
    <x v="2"/>
  </r>
  <r>
    <n v="8"/>
    <s v="Maven Toys Pachuca 1"/>
    <x v="2"/>
    <n v="25"/>
    <s v="PlayDoh Can"/>
    <x v="3"/>
    <n v="71"/>
    <n v="1715"/>
    <n v="26.4"/>
    <x v="2"/>
  </r>
  <r>
    <n v="8"/>
    <s v="Maven Toys Pachuca 1"/>
    <x v="2"/>
    <n v="6"/>
    <s v="Colorbuds"/>
    <x v="2"/>
    <n v="12"/>
    <n v="924"/>
    <n v="8.3000000000000007"/>
    <x v="2"/>
  </r>
  <r>
    <n v="8"/>
    <s v="Maven Toys Pachuca 1"/>
    <x v="2"/>
    <n v="7"/>
    <s v="Dart Gun"/>
    <x v="4"/>
    <n v="8"/>
    <n v="345"/>
    <n v="14.8"/>
    <x v="2"/>
  </r>
  <r>
    <n v="8"/>
    <s v="Maven Toys Pachuca 1"/>
    <x v="2"/>
    <n v="8"/>
    <s v="Deck Of Cards"/>
    <x v="1"/>
    <n v="42"/>
    <n v="1066"/>
    <n v="25.1"/>
    <x v="2"/>
  </r>
  <r>
    <n v="8"/>
    <s v="Maven Toys Pachuca 1"/>
    <x v="2"/>
    <n v="1"/>
    <s v="Action Figure"/>
    <x v="0"/>
    <n v="10"/>
    <n v="1233"/>
    <n v="5.2"/>
    <x v="2"/>
  </r>
  <r>
    <n v="8"/>
    <s v="Maven Toys Pachuca 1"/>
    <x v="2"/>
    <n v="2"/>
    <s v="Animal Figures"/>
    <x v="0"/>
    <n v="11"/>
    <n v="561"/>
    <n v="12.5"/>
    <x v="2"/>
  </r>
  <r>
    <n v="8"/>
    <s v="Maven Toys Pachuca 1"/>
    <x v="2"/>
    <n v="3"/>
    <s v="Barrel O' Slime"/>
    <x v="3"/>
    <n v="8"/>
    <n v="2374"/>
    <n v="2.1"/>
    <x v="2"/>
  </r>
  <r>
    <n v="7"/>
    <s v="Maven Toys Monterrey 2"/>
    <x v="2"/>
    <n v="34"/>
    <s v="Toy Robot"/>
    <x v="2"/>
    <n v="2"/>
    <n v="160"/>
    <n v="8"/>
    <x v="2"/>
  </r>
  <r>
    <n v="7"/>
    <s v="Maven Toys Monterrey 2"/>
    <x v="2"/>
    <n v="30"/>
    <s v="Rubik's Cube"/>
    <x v="1"/>
    <n v="27"/>
    <n v="1262"/>
    <n v="13.6"/>
    <x v="2"/>
  </r>
  <r>
    <n v="7"/>
    <s v="Maven Toys Monterrey 2"/>
    <x v="2"/>
    <n v="31"/>
    <s v="Splash Balls"/>
    <x v="4"/>
    <n v="15"/>
    <n v="902"/>
    <n v="10.6"/>
    <x v="2"/>
  </r>
  <r>
    <n v="7"/>
    <s v="Maven Toys Monterrey 2"/>
    <x v="2"/>
    <n v="32"/>
    <s v="Supersoaker Water Gun"/>
    <x v="4"/>
    <n v="3"/>
    <n v="163"/>
    <n v="11.7"/>
    <x v="2"/>
  </r>
  <r>
    <n v="7"/>
    <s v="Maven Toys Monterrey 2"/>
    <x v="2"/>
    <n v="10"/>
    <s v="Dinosaur Figures"/>
    <x v="0"/>
    <n v="36"/>
    <n v="1133"/>
    <n v="20.2"/>
    <x v="2"/>
  </r>
  <r>
    <n v="7"/>
    <s v="Maven Toys Monterrey 2"/>
    <x v="2"/>
    <n v="11"/>
    <s v="Etch A Sketch"/>
    <x v="3"/>
    <n v="7"/>
    <n v="216"/>
    <n v="20.6"/>
    <x v="2"/>
  </r>
  <r>
    <n v="7"/>
    <s v="Maven Toys Monterrey 2"/>
    <x v="2"/>
    <n v="22"/>
    <s v="Monopoly"/>
    <x v="1"/>
    <n v="8"/>
    <n v="225"/>
    <n v="22.6"/>
    <x v="2"/>
  </r>
  <r>
    <n v="7"/>
    <s v="Maven Toys Monterrey 2"/>
    <x v="2"/>
    <n v="23"/>
    <s v="Mr. Potatohead"/>
    <x v="0"/>
    <n v="9"/>
    <n v="187"/>
    <n v="30.7"/>
    <x v="2"/>
  </r>
  <r>
    <n v="7"/>
    <s v="Maven Toys Monterrey 2"/>
    <x v="2"/>
    <n v="24"/>
    <s v="Nerf Gun"/>
    <x v="4"/>
    <n v="25"/>
    <n v="502"/>
    <n v="31.7"/>
    <x v="2"/>
  </r>
  <r>
    <n v="7"/>
    <s v="Maven Toys Monterrey 2"/>
    <x v="2"/>
    <n v="25"/>
    <s v="PlayDoh Can"/>
    <x v="3"/>
    <n v="10"/>
    <n v="3692"/>
    <n v="1.7"/>
    <x v="2"/>
  </r>
  <r>
    <n v="7"/>
    <s v="Maven Toys Monterrey 2"/>
    <x v="2"/>
    <n v="13"/>
    <s v="Gamer Headphones"/>
    <x v="2"/>
    <n v="20"/>
    <n v="417"/>
    <n v="30.6"/>
    <x v="2"/>
  </r>
  <r>
    <n v="7"/>
    <s v="Maven Toys Monterrey 2"/>
    <x v="2"/>
    <n v="14"/>
    <s v="Glass Marbles"/>
    <x v="1"/>
    <n v="3"/>
    <n v="696"/>
    <n v="2.7"/>
    <x v="2"/>
  </r>
  <r>
    <n v="7"/>
    <s v="Maven Toys Monterrey 2"/>
    <x v="2"/>
    <n v="15"/>
    <s v="Hot Wheels 5-Pack"/>
    <x v="0"/>
    <n v="3"/>
    <n v="1029"/>
    <n v="1.9"/>
    <x v="2"/>
  </r>
  <r>
    <n v="7"/>
    <s v="Maven Toys Monterrey 2"/>
    <x v="2"/>
    <n v="16"/>
    <s v="Jenga"/>
    <x v="1"/>
    <n v="6"/>
    <n v="190"/>
    <n v="20.100000000000001"/>
    <x v="2"/>
  </r>
  <r>
    <n v="7"/>
    <s v="Maven Toys Monterrey 2"/>
    <x v="2"/>
    <n v="17"/>
    <s v="Kids Makeup Kit"/>
    <x v="3"/>
    <n v="4"/>
    <n v="541"/>
    <n v="4.7"/>
    <x v="2"/>
  </r>
  <r>
    <n v="7"/>
    <s v="Maven Toys Monterrey 2"/>
    <x v="2"/>
    <n v="18"/>
    <s v="Lego Bricks"/>
    <x v="0"/>
    <n v="31"/>
    <n v="1666"/>
    <n v="11.9"/>
    <x v="2"/>
  </r>
  <r>
    <n v="7"/>
    <s v="Maven Toys Monterrey 2"/>
    <x v="2"/>
    <n v="19"/>
    <s v="Magic Sand"/>
    <x v="3"/>
    <n v="24"/>
    <n v="1517"/>
    <n v="10.1"/>
    <x v="2"/>
  </r>
  <r>
    <n v="7"/>
    <s v="Maven Toys Monterrey 2"/>
    <x v="2"/>
    <n v="20"/>
    <s v="Mini Basketball Hoop"/>
    <x v="4"/>
    <n v="7"/>
    <n v="161"/>
    <n v="27.7"/>
    <x v="2"/>
  </r>
  <r>
    <n v="6"/>
    <s v="Maven Toys Mexicali 1"/>
    <x v="1"/>
    <n v="18"/>
    <s v="Lego Bricks"/>
    <x v="0"/>
    <n v="11"/>
    <n v="586"/>
    <n v="12"/>
    <x v="2"/>
  </r>
  <r>
    <n v="6"/>
    <s v="Maven Toys Mexicali 1"/>
    <x v="1"/>
    <n v="19"/>
    <s v="Magic Sand"/>
    <x v="3"/>
    <n v="39"/>
    <n v="1358"/>
    <n v="18.3"/>
    <x v="2"/>
  </r>
  <r>
    <n v="6"/>
    <s v="Maven Toys Mexicali 1"/>
    <x v="1"/>
    <n v="21"/>
    <s v="Mini Ping Pong Set"/>
    <x v="4"/>
    <n v="36"/>
    <n v="672"/>
    <n v="34.1"/>
    <x v="2"/>
  </r>
  <r>
    <n v="6"/>
    <s v="Maven Toys Mexicali 1"/>
    <x v="1"/>
    <n v="22"/>
    <s v="Monopoly"/>
    <x v="1"/>
    <n v="5"/>
    <n v="96"/>
    <n v="33.200000000000003"/>
    <x v="2"/>
  </r>
  <r>
    <n v="6"/>
    <s v="Maven Toys Mexicali 1"/>
    <x v="1"/>
    <n v="24"/>
    <s v="Nerf Gun"/>
    <x v="4"/>
    <n v="15"/>
    <n v="498"/>
    <n v="19.2"/>
    <x v="2"/>
  </r>
  <r>
    <n v="6"/>
    <s v="Maven Toys Mexicali 1"/>
    <x v="1"/>
    <n v="25"/>
    <s v="PlayDoh Can"/>
    <x v="3"/>
    <n v="62"/>
    <n v="2116"/>
    <n v="18.7"/>
    <x v="2"/>
  </r>
  <r>
    <n v="6"/>
    <s v="Maven Toys Mexicali 1"/>
    <x v="1"/>
    <n v="34"/>
    <s v="Toy Robot"/>
    <x v="2"/>
    <n v="8"/>
    <n v="154"/>
    <n v="33.1"/>
    <x v="2"/>
  </r>
  <r>
    <n v="6"/>
    <s v="Maven Toys Mexicali 1"/>
    <x v="1"/>
    <n v="35"/>
    <s v="Uno Card Game"/>
    <x v="1"/>
    <n v="3"/>
    <n v="112"/>
    <n v="17.100000000000001"/>
    <x v="2"/>
  </r>
  <r>
    <n v="7"/>
    <s v="Maven Toys Monterrey 2"/>
    <x v="2"/>
    <n v="1"/>
    <s v="Action Figure"/>
    <x v="0"/>
    <n v="14"/>
    <n v="1203"/>
    <n v="7.4"/>
    <x v="2"/>
  </r>
  <r>
    <n v="7"/>
    <s v="Maven Toys Monterrey 2"/>
    <x v="2"/>
    <n v="2"/>
    <s v="Animal Figures"/>
    <x v="0"/>
    <n v="7"/>
    <n v="1080"/>
    <n v="4.0999999999999996"/>
    <x v="2"/>
  </r>
  <r>
    <n v="7"/>
    <s v="Maven Toys Monterrey 2"/>
    <x v="2"/>
    <n v="3"/>
    <s v="Barrel O' Slime"/>
    <x v="3"/>
    <n v="10"/>
    <n v="2147"/>
    <n v="3"/>
    <x v="2"/>
  </r>
  <r>
    <n v="7"/>
    <s v="Maven Toys Monterrey 2"/>
    <x v="2"/>
    <n v="4"/>
    <s v="Chutes &amp; Ladders"/>
    <x v="1"/>
    <n v="17"/>
    <n v="402"/>
    <n v="26.9"/>
    <x v="2"/>
  </r>
  <r>
    <n v="6"/>
    <s v="Maven Toys Mexicali 1"/>
    <x v="1"/>
    <n v="31"/>
    <s v="Splash Balls"/>
    <x v="4"/>
    <n v="17"/>
    <n v="687"/>
    <n v="15.8"/>
    <x v="2"/>
  </r>
  <r>
    <n v="7"/>
    <s v="Maven Toys Monterrey 2"/>
    <x v="2"/>
    <n v="6"/>
    <s v="Colorbuds"/>
    <x v="2"/>
    <n v="10"/>
    <n v="3643"/>
    <n v="1.7"/>
    <x v="2"/>
  </r>
  <r>
    <n v="7"/>
    <s v="Maven Toys Monterrey 2"/>
    <x v="2"/>
    <n v="7"/>
    <s v="Dart Gun"/>
    <x v="4"/>
    <n v="1"/>
    <n v="756"/>
    <n v="0.8"/>
    <x v="2"/>
  </r>
  <r>
    <n v="7"/>
    <s v="Maven Toys Monterrey 2"/>
    <x v="2"/>
    <n v="8"/>
    <s v="Deck Of Cards"/>
    <x v="1"/>
    <n v="46"/>
    <n v="1852"/>
    <n v="15.8"/>
    <x v="2"/>
  </r>
  <r>
    <n v="8"/>
    <s v="Maven Toys Pachuca 1"/>
    <x v="2"/>
    <n v="29"/>
    <s v="Plush Pony"/>
    <x v="0"/>
    <n v="3"/>
    <n v="63"/>
    <n v="30.3"/>
    <x v="2"/>
  </r>
  <r>
    <n v="8"/>
    <s v="Maven Toys Pachuca 1"/>
    <x v="2"/>
    <n v="30"/>
    <s v="Rubik's Cube"/>
    <x v="1"/>
    <n v="13"/>
    <n v="1000"/>
    <n v="8.3000000000000007"/>
    <x v="2"/>
  </r>
  <r>
    <n v="8"/>
    <s v="Maven Toys Pachuca 1"/>
    <x v="2"/>
    <n v="31"/>
    <s v="Splash Balls"/>
    <x v="4"/>
    <n v="27"/>
    <n v="1084"/>
    <n v="15.9"/>
    <x v="2"/>
  </r>
  <r>
    <n v="9"/>
    <s v="Maven Toys Ciudad de Mexico 1"/>
    <x v="2"/>
    <n v="1"/>
    <s v="Action Figure"/>
    <x v="0"/>
    <n v="15"/>
    <n v="2350"/>
    <n v="4.0999999999999996"/>
    <x v="2"/>
  </r>
  <r>
    <n v="9"/>
    <s v="Maven Toys Ciudad de Mexico 1"/>
    <x v="2"/>
    <n v="2"/>
    <s v="Animal Figures"/>
    <x v="0"/>
    <n v="18"/>
    <n v="1103"/>
    <n v="10.4"/>
    <x v="2"/>
  </r>
  <r>
    <n v="9"/>
    <s v="Maven Toys Ciudad de Mexico 1"/>
    <x v="2"/>
    <n v="3"/>
    <s v="Barrel O' Slime"/>
    <x v="3"/>
    <n v="10"/>
    <n v="3860"/>
    <n v="1.7"/>
    <x v="2"/>
  </r>
  <r>
    <n v="9"/>
    <s v="Maven Toys Ciudad de Mexico 1"/>
    <x v="2"/>
    <n v="5"/>
    <s v="Classic Dominoes"/>
    <x v="1"/>
    <n v="3"/>
    <n v="226"/>
    <n v="8.5"/>
    <x v="2"/>
  </r>
  <r>
    <n v="9"/>
    <s v="Maven Toys Ciudad de Mexico 1"/>
    <x v="2"/>
    <n v="6"/>
    <s v="Colorbuds"/>
    <x v="2"/>
    <n v="55"/>
    <n v="1548"/>
    <n v="22.6"/>
    <x v="2"/>
  </r>
  <r>
    <n v="9"/>
    <s v="Maven Toys Ciudad de Mexico 1"/>
    <x v="2"/>
    <n v="7"/>
    <s v="Dart Gun"/>
    <x v="4"/>
    <n v="22"/>
    <n v="1053"/>
    <n v="13.3"/>
    <x v="2"/>
  </r>
  <r>
    <n v="9"/>
    <s v="Maven Toys Ciudad de Mexico 1"/>
    <x v="2"/>
    <n v="8"/>
    <s v="Deck Of Cards"/>
    <x v="1"/>
    <n v="29"/>
    <n v="2478"/>
    <n v="7.5"/>
    <x v="2"/>
  </r>
  <r>
    <n v="9"/>
    <s v="Maven Toys Ciudad de Mexico 1"/>
    <x v="2"/>
    <n v="9"/>
    <s v="Dino Egg"/>
    <x v="0"/>
    <n v="50"/>
    <n v="1503"/>
    <n v="21.2"/>
    <x v="2"/>
  </r>
  <r>
    <n v="9"/>
    <s v="Maven Toys Ciudad de Mexico 1"/>
    <x v="2"/>
    <n v="14"/>
    <s v="Glass Marbles"/>
    <x v="1"/>
    <n v="11"/>
    <n v="601"/>
    <n v="11.7"/>
    <x v="2"/>
  </r>
  <r>
    <n v="9"/>
    <s v="Maven Toys Ciudad de Mexico 1"/>
    <x v="2"/>
    <n v="15"/>
    <s v="Hot Wheels 5-Pack"/>
    <x v="0"/>
    <n v="9"/>
    <n v="554"/>
    <n v="10.3"/>
    <x v="2"/>
  </r>
  <r>
    <n v="9"/>
    <s v="Maven Toys Ciudad de Mexico 1"/>
    <x v="2"/>
    <n v="16"/>
    <s v="Jenga"/>
    <x v="1"/>
    <n v="5"/>
    <n v="630"/>
    <n v="5.0999999999999996"/>
    <x v="2"/>
  </r>
  <r>
    <n v="9"/>
    <s v="Maven Toys Ciudad de Mexico 1"/>
    <x v="2"/>
    <n v="17"/>
    <s v="Kids Makeup Kit"/>
    <x v="3"/>
    <n v="8"/>
    <n v="623"/>
    <n v="8.1999999999999993"/>
    <x v="2"/>
  </r>
  <r>
    <n v="9"/>
    <s v="Maven Toys Ciudad de Mexico 1"/>
    <x v="2"/>
    <n v="18"/>
    <s v="Lego Bricks"/>
    <x v="0"/>
    <n v="8"/>
    <n v="1983"/>
    <n v="2.6"/>
    <x v="2"/>
  </r>
  <r>
    <n v="9"/>
    <s v="Maven Toys Ciudad de Mexico 1"/>
    <x v="2"/>
    <n v="19"/>
    <s v="Magic Sand"/>
    <x v="3"/>
    <n v="54"/>
    <n v="1631"/>
    <n v="21.1"/>
    <x v="2"/>
  </r>
  <r>
    <n v="9"/>
    <s v="Maven Toys Ciudad de Mexico 1"/>
    <x v="2"/>
    <n v="11"/>
    <s v="Etch A Sketch"/>
    <x v="3"/>
    <n v="1"/>
    <n v="244"/>
    <n v="2.6"/>
    <x v="2"/>
  </r>
  <r>
    <n v="9"/>
    <s v="Maven Toys Ciudad de Mexico 1"/>
    <x v="2"/>
    <n v="12"/>
    <s v="Foam Disk Launcher"/>
    <x v="4"/>
    <n v="6"/>
    <n v="128"/>
    <n v="29.9"/>
    <x v="2"/>
  </r>
  <r>
    <n v="9"/>
    <s v="Maven Toys Ciudad de Mexico 1"/>
    <x v="2"/>
    <n v="21"/>
    <s v="Mini Ping Pong Set"/>
    <x v="4"/>
    <n v="12"/>
    <n v="1038"/>
    <n v="7.4"/>
    <x v="2"/>
  </r>
  <r>
    <n v="9"/>
    <s v="Maven Toys Ciudad de Mexico 1"/>
    <x v="2"/>
    <n v="24"/>
    <s v="Nerf Gun"/>
    <x v="4"/>
    <n v="16"/>
    <n v="968"/>
    <n v="10.5"/>
    <x v="2"/>
  </r>
  <r>
    <n v="9"/>
    <s v="Maven Toys Ciudad de Mexico 1"/>
    <x v="2"/>
    <n v="25"/>
    <s v="PlayDoh Can"/>
    <x v="3"/>
    <n v="4"/>
    <n v="3119"/>
    <n v="0.8"/>
    <x v="2"/>
  </r>
  <r>
    <n v="9"/>
    <s v="Maven Toys Ciudad de Mexico 1"/>
    <x v="2"/>
    <n v="27"/>
    <s v="PlayDoh Toolkit"/>
    <x v="3"/>
    <n v="29"/>
    <n v="947"/>
    <n v="19.5"/>
    <x v="2"/>
  </r>
  <r>
    <n v="9"/>
    <s v="Maven Toys Ciudad de Mexico 1"/>
    <x v="2"/>
    <n v="30"/>
    <s v="Rubik's Cube"/>
    <x v="1"/>
    <n v="11"/>
    <n v="1766"/>
    <n v="4"/>
    <x v="2"/>
  </r>
  <r>
    <n v="9"/>
    <s v="Maven Toys Ciudad de Mexico 1"/>
    <x v="2"/>
    <n v="31"/>
    <s v="Splash Balls"/>
    <x v="4"/>
    <n v="6"/>
    <n v="2298"/>
    <n v="1.7"/>
    <x v="2"/>
  </r>
  <r>
    <n v="9"/>
    <s v="Maven Toys Ciudad de Mexico 1"/>
    <x v="2"/>
    <n v="32"/>
    <s v="Supersoaker Water Gun"/>
    <x v="4"/>
    <n v="3"/>
    <n v="166"/>
    <n v="11.5"/>
    <x v="2"/>
  </r>
  <r>
    <n v="9"/>
    <s v="Maven Toys Ciudad de Mexico 1"/>
    <x v="2"/>
    <n v="33"/>
    <s v="Teddy Bear"/>
    <x v="0"/>
    <n v="9"/>
    <n v="249"/>
    <n v="23"/>
    <x v="2"/>
  </r>
  <r>
    <n v="9"/>
    <s v="Maven Toys Ciudad de Mexico 1"/>
    <x v="2"/>
    <n v="34"/>
    <s v="Toy Robot"/>
    <x v="2"/>
    <n v="5"/>
    <n v="557"/>
    <n v="5.7"/>
    <x v="2"/>
  </r>
  <r>
    <n v="9"/>
    <s v="Maven Toys Ciudad de Mexico 1"/>
    <x v="2"/>
    <n v="35"/>
    <s v="Uno Card Game"/>
    <x v="1"/>
    <n v="4"/>
    <n v="92"/>
    <n v="27.7"/>
    <x v="2"/>
  </r>
  <r>
    <n v="10"/>
    <s v="Maven Toys Campeche 1"/>
    <x v="2"/>
    <n v="1"/>
    <s v="Action Figure"/>
    <x v="0"/>
    <n v="5"/>
    <n v="1529"/>
    <n v="2.1"/>
    <x v="2"/>
  </r>
  <r>
    <n v="10"/>
    <s v="Maven Toys Campeche 1"/>
    <x v="2"/>
    <n v="5"/>
    <s v="Classic Dominoes"/>
    <x v="1"/>
    <n v="4"/>
    <n v="246"/>
    <n v="10.4"/>
    <x v="2"/>
  </r>
  <r>
    <n v="10"/>
    <s v="Maven Toys Campeche 1"/>
    <x v="2"/>
    <n v="6"/>
    <s v="Colorbuds"/>
    <x v="2"/>
    <n v="24"/>
    <n v="1159"/>
    <n v="13.2"/>
    <x v="2"/>
  </r>
  <r>
    <n v="10"/>
    <s v="Maven Toys Campeche 1"/>
    <x v="2"/>
    <n v="7"/>
    <s v="Dart Gun"/>
    <x v="4"/>
    <n v="13"/>
    <n v="416"/>
    <n v="19.899999999999999"/>
    <x v="2"/>
  </r>
  <r>
    <n v="10"/>
    <s v="Maven Toys Campeche 1"/>
    <x v="2"/>
    <n v="8"/>
    <s v="Deck Of Cards"/>
    <x v="1"/>
    <n v="73"/>
    <n v="2127"/>
    <n v="21.9"/>
    <x v="2"/>
  </r>
  <r>
    <n v="10"/>
    <s v="Maven Toys Campeche 1"/>
    <x v="2"/>
    <n v="9"/>
    <s v="Dino Egg"/>
    <x v="0"/>
    <n v="10"/>
    <n v="793"/>
    <n v="8"/>
    <x v="2"/>
  </r>
  <r>
    <n v="10"/>
    <s v="Maven Toys Campeche 1"/>
    <x v="2"/>
    <n v="3"/>
    <s v="Barrel O' Slime"/>
    <x v="3"/>
    <n v="15"/>
    <n v="2183"/>
    <n v="4.4000000000000004"/>
    <x v="2"/>
  </r>
  <r>
    <n v="10"/>
    <s v="Maven Toys Campeche 1"/>
    <x v="2"/>
    <n v="11"/>
    <s v="Etch A Sketch"/>
    <x v="3"/>
    <n v="9"/>
    <n v="218"/>
    <n v="26.3"/>
    <x v="2"/>
  </r>
  <r>
    <n v="10"/>
    <s v="Maven Toys Campeche 1"/>
    <x v="2"/>
    <n v="14"/>
    <s v="Glass Marbles"/>
    <x v="1"/>
    <n v="4"/>
    <n v="519"/>
    <n v="4.9000000000000004"/>
    <x v="2"/>
  </r>
  <r>
    <n v="10"/>
    <s v="Maven Toys Campeche 1"/>
    <x v="2"/>
    <n v="15"/>
    <s v="Hot Wheels 5-Pack"/>
    <x v="0"/>
    <n v="13"/>
    <n v="443"/>
    <n v="18.7"/>
    <x v="2"/>
  </r>
  <r>
    <n v="10"/>
    <s v="Maven Toys Campeche 1"/>
    <x v="2"/>
    <n v="16"/>
    <s v="Jenga"/>
    <x v="1"/>
    <n v="1"/>
    <n v="355"/>
    <n v="1.8"/>
    <x v="2"/>
  </r>
  <r>
    <n v="10"/>
    <s v="Maven Toys Campeche 1"/>
    <x v="2"/>
    <n v="17"/>
    <s v="Kids Makeup Kit"/>
    <x v="3"/>
    <n v="3"/>
    <n v="285"/>
    <n v="6.7"/>
    <x v="2"/>
  </r>
  <r>
    <n v="10"/>
    <s v="Maven Toys Campeche 1"/>
    <x v="2"/>
    <n v="18"/>
    <s v="Lego Bricks"/>
    <x v="0"/>
    <n v="17"/>
    <n v="796"/>
    <n v="13.6"/>
    <x v="2"/>
  </r>
  <r>
    <n v="10"/>
    <s v="Maven Toys Campeche 1"/>
    <x v="2"/>
    <n v="19"/>
    <s v="Magic Sand"/>
    <x v="3"/>
    <n v="57"/>
    <n v="1394"/>
    <n v="26"/>
    <x v="2"/>
  </r>
  <r>
    <n v="10"/>
    <s v="Maven Toys Campeche 1"/>
    <x v="2"/>
    <n v="20"/>
    <s v="Mini Basketball Hoop"/>
    <x v="4"/>
    <n v="4"/>
    <n v="240"/>
    <n v="10.6"/>
    <x v="2"/>
  </r>
  <r>
    <n v="10"/>
    <s v="Maven Toys Campeche 1"/>
    <x v="2"/>
    <n v="21"/>
    <s v="Mini Ping Pong Set"/>
    <x v="4"/>
    <n v="16"/>
    <n v="4244"/>
    <n v="2.4"/>
    <x v="2"/>
  </r>
  <r>
    <n v="10"/>
    <s v="Maven Toys Campeche 1"/>
    <x v="2"/>
    <n v="22"/>
    <s v="Monopoly"/>
    <x v="1"/>
    <n v="13"/>
    <n v="491"/>
    <n v="16.899999999999999"/>
    <x v="2"/>
  </r>
  <r>
    <n v="10"/>
    <s v="Maven Toys Campeche 1"/>
    <x v="2"/>
    <n v="23"/>
    <s v="Mr. Potatohead"/>
    <x v="0"/>
    <n v="9"/>
    <n v="269"/>
    <n v="21.3"/>
    <x v="2"/>
  </r>
  <r>
    <n v="10"/>
    <s v="Maven Toys Campeche 1"/>
    <x v="2"/>
    <n v="24"/>
    <s v="Nerf Gun"/>
    <x v="4"/>
    <n v="20"/>
    <n v="636"/>
    <n v="20"/>
    <x v="2"/>
  </r>
  <r>
    <n v="10"/>
    <s v="Maven Toys Campeche 1"/>
    <x v="2"/>
    <n v="25"/>
    <s v="PlayDoh Can"/>
    <x v="3"/>
    <n v="68"/>
    <n v="1241"/>
    <n v="34.9"/>
    <x v="2"/>
  </r>
  <r>
    <n v="10"/>
    <s v="Maven Toys Campeche 1"/>
    <x v="2"/>
    <n v="26"/>
    <s v="PlayDoh Playset"/>
    <x v="3"/>
    <n v="9"/>
    <n v="221"/>
    <n v="25.9"/>
    <x v="2"/>
  </r>
  <r>
    <n v="10"/>
    <s v="Maven Toys Campeche 1"/>
    <x v="2"/>
    <n v="30"/>
    <s v="Rubik's Cube"/>
    <x v="1"/>
    <n v="42"/>
    <n v="1156"/>
    <n v="23.1"/>
    <x v="2"/>
  </r>
  <r>
    <n v="10"/>
    <s v="Maven Toys Campeche 1"/>
    <x v="2"/>
    <n v="31"/>
    <s v="Splash Balls"/>
    <x v="4"/>
    <n v="7"/>
    <n v="953"/>
    <n v="4.7"/>
    <x v="2"/>
  </r>
  <r>
    <n v="10"/>
    <s v="Maven Toys Campeche 1"/>
    <x v="2"/>
    <n v="35"/>
    <s v="Uno Card Game"/>
    <x v="1"/>
    <n v="2"/>
    <n v="158"/>
    <n v="8.1"/>
    <x v="2"/>
  </r>
  <r>
    <n v="11"/>
    <s v="Maven Toys Cuernavaca 1"/>
    <x v="2"/>
    <n v="1"/>
    <s v="Action Figure"/>
    <x v="0"/>
    <n v="19"/>
    <n v="956"/>
    <n v="12.7"/>
    <x v="2"/>
  </r>
  <r>
    <n v="11"/>
    <s v="Maven Toys Cuernavaca 1"/>
    <x v="2"/>
    <n v="2"/>
    <s v="Animal Figures"/>
    <x v="0"/>
    <n v="18"/>
    <n v="765"/>
    <n v="15"/>
    <x v="2"/>
  </r>
  <r>
    <n v="11"/>
    <s v="Maven Toys Cuernavaca 1"/>
    <x v="2"/>
    <n v="3"/>
    <s v="Barrel O' Slime"/>
    <x v="3"/>
    <n v="18"/>
    <n v="1818"/>
    <n v="6.3"/>
    <x v="2"/>
  </r>
  <r>
    <n v="11"/>
    <s v="Maven Toys Cuernavaca 1"/>
    <x v="2"/>
    <n v="7"/>
    <s v="Dart Gun"/>
    <x v="4"/>
    <n v="19"/>
    <n v="469"/>
    <n v="25.8"/>
    <x v="2"/>
  </r>
  <r>
    <n v="11"/>
    <s v="Maven Toys Cuernavaca 1"/>
    <x v="2"/>
    <n v="9"/>
    <s v="Dino Egg"/>
    <x v="0"/>
    <n v="13"/>
    <n v="836"/>
    <n v="9.9"/>
    <x v="2"/>
  </r>
  <r>
    <n v="11"/>
    <s v="Maven Toys Cuernavaca 1"/>
    <x v="2"/>
    <n v="10"/>
    <s v="Dinosaur Figures"/>
    <x v="0"/>
    <n v="17"/>
    <n v="410"/>
    <n v="26.4"/>
    <x v="2"/>
  </r>
  <r>
    <n v="11"/>
    <s v="Maven Toys Cuernavaca 1"/>
    <x v="2"/>
    <n v="11"/>
    <s v="Etch A Sketch"/>
    <x v="3"/>
    <n v="9"/>
    <n v="204"/>
    <n v="28.1"/>
    <x v="2"/>
  </r>
  <r>
    <n v="5"/>
    <s v="Maven Toys La Paz 1"/>
    <x v="2"/>
    <n v="25"/>
    <s v="PlayDoh Can"/>
    <x v="3"/>
    <n v="9"/>
    <n v="1215"/>
    <n v="4.7"/>
    <x v="2"/>
  </r>
  <r>
    <n v="5"/>
    <s v="Maven Toys La Paz 1"/>
    <x v="2"/>
    <n v="26"/>
    <s v="PlayDoh Playset"/>
    <x v="3"/>
    <n v="4"/>
    <n v="151"/>
    <n v="16.899999999999999"/>
    <x v="2"/>
  </r>
  <r>
    <n v="6"/>
    <s v="Maven Toys Mexicali 1"/>
    <x v="1"/>
    <n v="5"/>
    <s v="Classic Dominoes"/>
    <x v="1"/>
    <n v="8"/>
    <n v="185"/>
    <n v="27.5"/>
    <x v="2"/>
  </r>
  <r>
    <n v="6"/>
    <s v="Maven Toys Mexicali 1"/>
    <x v="1"/>
    <n v="6"/>
    <s v="Colorbuds"/>
    <x v="2"/>
    <n v="32"/>
    <n v="4914"/>
    <n v="4.0999999999999996"/>
    <x v="2"/>
  </r>
  <r>
    <n v="6"/>
    <s v="Maven Toys Mexicali 1"/>
    <x v="1"/>
    <n v="7"/>
    <s v="Dart Gun"/>
    <x v="4"/>
    <n v="18"/>
    <n v="572"/>
    <n v="20"/>
    <x v="2"/>
  </r>
  <r>
    <n v="6"/>
    <s v="Maven Toys Mexicali 1"/>
    <x v="1"/>
    <n v="8"/>
    <s v="Deck Of Cards"/>
    <x v="1"/>
    <n v="50"/>
    <n v="2748"/>
    <n v="11.6"/>
    <x v="2"/>
  </r>
  <r>
    <n v="6"/>
    <s v="Maven Toys Mexicali 1"/>
    <x v="1"/>
    <n v="9"/>
    <s v="Dino Egg"/>
    <x v="0"/>
    <n v="3"/>
    <n v="487"/>
    <n v="3.9"/>
    <x v="2"/>
  </r>
  <r>
    <n v="6"/>
    <s v="Maven Toys Mexicali 1"/>
    <x v="1"/>
    <n v="12"/>
    <s v="Foam Disk Launcher"/>
    <x v="4"/>
    <n v="2"/>
    <n v="79"/>
    <n v="16.100000000000001"/>
    <x v="2"/>
  </r>
  <r>
    <n v="6"/>
    <s v="Maven Toys Mexicali 1"/>
    <x v="1"/>
    <n v="13"/>
    <s v="Gamer Headphones"/>
    <x v="2"/>
    <n v="2"/>
    <n v="1257"/>
    <n v="1"/>
    <x v="2"/>
  </r>
  <r>
    <n v="6"/>
    <s v="Maven Toys Mexicali 1"/>
    <x v="1"/>
    <n v="14"/>
    <s v="Glass Marbles"/>
    <x v="1"/>
    <n v="11"/>
    <n v="573"/>
    <n v="12.2"/>
    <x v="2"/>
  </r>
  <r>
    <n v="6"/>
    <s v="Maven Toys Mexicali 1"/>
    <x v="1"/>
    <n v="15"/>
    <s v="Hot Wheels 5-Pack"/>
    <x v="0"/>
    <n v="11"/>
    <n v="278"/>
    <n v="25.2"/>
    <x v="2"/>
  </r>
  <r>
    <n v="6"/>
    <s v="Maven Toys Mexicali 1"/>
    <x v="1"/>
    <n v="3"/>
    <s v="Barrel O' Slime"/>
    <x v="3"/>
    <n v="20"/>
    <n v="1505"/>
    <n v="8.5"/>
    <x v="2"/>
  </r>
  <r>
    <n v="1"/>
    <s v="Maven Toys Guadalajara 1"/>
    <x v="0"/>
    <n v="1"/>
    <s v="Action Figure"/>
    <x v="0"/>
    <n v="27"/>
    <n v="1262"/>
    <n v="13.6"/>
    <x v="2"/>
  </r>
  <r>
    <n v="5"/>
    <s v="Maven Toys La Paz 1"/>
    <x v="2"/>
    <n v="23"/>
    <s v="Mr. Potatohead"/>
    <x v="0"/>
    <n v="11"/>
    <n v="233"/>
    <n v="30.1"/>
    <x v="2"/>
  </r>
  <r>
    <n v="5"/>
    <s v="Maven Toys La Paz 1"/>
    <x v="2"/>
    <n v="8"/>
    <s v="Deck Of Cards"/>
    <x v="1"/>
    <n v="27"/>
    <n v="2104"/>
    <n v="8.1999999999999993"/>
    <x v="2"/>
  </r>
  <r>
    <n v="5"/>
    <s v="Maven Toys La Paz 1"/>
    <x v="2"/>
    <n v="9"/>
    <s v="Dino Egg"/>
    <x v="0"/>
    <n v="31"/>
    <n v="617"/>
    <n v="32"/>
    <x v="2"/>
  </r>
  <r>
    <n v="5"/>
    <s v="Maven Toys La Paz 1"/>
    <x v="2"/>
    <n v="17"/>
    <s v="Kids Makeup Kit"/>
    <x v="3"/>
    <n v="7"/>
    <n v="375"/>
    <n v="11.9"/>
    <x v="2"/>
  </r>
  <r>
    <n v="5"/>
    <s v="Maven Toys La Paz 1"/>
    <x v="2"/>
    <n v="18"/>
    <s v="Lego Bricks"/>
    <x v="0"/>
    <n v="9"/>
    <n v="888"/>
    <n v="6.5"/>
    <x v="2"/>
  </r>
  <r>
    <n v="5"/>
    <s v="Maven Toys La Paz 1"/>
    <x v="2"/>
    <n v="19"/>
    <s v="Magic Sand"/>
    <x v="3"/>
    <n v="18"/>
    <n v="1030"/>
    <n v="11.1"/>
    <x v="2"/>
  </r>
  <r>
    <n v="5"/>
    <s v="Maven Toys La Paz 1"/>
    <x v="2"/>
    <n v="13"/>
    <s v="Gamer Headphones"/>
    <x v="2"/>
    <n v="17"/>
    <n v="345"/>
    <n v="31.4"/>
    <x v="2"/>
  </r>
  <r>
    <n v="5"/>
    <s v="Maven Toys La Paz 1"/>
    <x v="2"/>
    <n v="14"/>
    <s v="Glass Marbles"/>
    <x v="1"/>
    <n v="14"/>
    <n v="386"/>
    <n v="23.1"/>
    <x v="2"/>
  </r>
  <r>
    <n v="4"/>
    <s v="Maven Toys Saltillo 1"/>
    <x v="2"/>
    <n v="35"/>
    <s v="Uno Card Game"/>
    <x v="1"/>
    <n v="4"/>
    <n v="100"/>
    <n v="25.5"/>
    <x v="2"/>
  </r>
  <r>
    <n v="5"/>
    <s v="Maven Toys La Paz 1"/>
    <x v="2"/>
    <n v="1"/>
    <s v="Action Figure"/>
    <x v="0"/>
    <n v="8"/>
    <n v="876"/>
    <n v="5.8"/>
    <x v="2"/>
  </r>
  <r>
    <n v="5"/>
    <s v="Maven Toys La Paz 1"/>
    <x v="2"/>
    <n v="2"/>
    <s v="Animal Figures"/>
    <x v="0"/>
    <n v="14"/>
    <n v="436"/>
    <n v="20.5"/>
    <x v="2"/>
  </r>
  <r>
    <n v="5"/>
    <s v="Maven Toys La Paz 1"/>
    <x v="2"/>
    <n v="3"/>
    <s v="Barrel O' Slime"/>
    <x v="3"/>
    <n v="3"/>
    <n v="1428"/>
    <n v="1.3"/>
    <x v="2"/>
  </r>
  <r>
    <n v="5"/>
    <s v="Maven Toys La Paz 1"/>
    <x v="2"/>
    <n v="6"/>
    <s v="Colorbuds"/>
    <x v="2"/>
    <n v="12"/>
    <n v="1054"/>
    <n v="7.3"/>
    <x v="2"/>
  </r>
  <r>
    <n v="4"/>
    <s v="Maven Toys Saltillo 1"/>
    <x v="2"/>
    <n v="30"/>
    <s v="Rubik's Cube"/>
    <x v="1"/>
    <n v="28"/>
    <n v="1006"/>
    <n v="17.7"/>
    <x v="2"/>
  </r>
  <r>
    <n v="4"/>
    <s v="Maven Toys Saltillo 1"/>
    <x v="2"/>
    <n v="31"/>
    <s v="Splash Balls"/>
    <x v="4"/>
    <n v="35"/>
    <n v="888"/>
    <n v="25.1"/>
    <x v="2"/>
  </r>
  <r>
    <n v="4"/>
    <s v="Maven Toys Saltillo 1"/>
    <x v="2"/>
    <n v="32"/>
    <s v="Supersoaker Water Gun"/>
    <x v="4"/>
    <n v="6"/>
    <n v="150"/>
    <n v="25.5"/>
    <x v="2"/>
  </r>
  <r>
    <n v="4"/>
    <s v="Maven Toys Saltillo 1"/>
    <x v="2"/>
    <n v="33"/>
    <s v="Teddy Bear"/>
    <x v="0"/>
    <n v="2"/>
    <n v="72"/>
    <n v="17.7"/>
    <x v="2"/>
  </r>
  <r>
    <n v="3"/>
    <s v="Maven Toys Guadalajara 2"/>
    <x v="1"/>
    <n v="27"/>
    <s v="PlayDoh Toolkit"/>
    <x v="3"/>
    <n v="23"/>
    <n v="426"/>
    <n v="34.4"/>
    <x v="2"/>
  </r>
  <r>
    <n v="4"/>
    <s v="Maven Toys Saltillo 1"/>
    <x v="2"/>
    <n v="21"/>
    <s v="Mini Ping Pong Set"/>
    <x v="4"/>
    <n v="24"/>
    <n v="895"/>
    <n v="17.100000000000001"/>
    <x v="2"/>
  </r>
  <r>
    <n v="4"/>
    <s v="Maven Toys Saltillo 1"/>
    <x v="2"/>
    <n v="22"/>
    <s v="Monopoly"/>
    <x v="1"/>
    <n v="5"/>
    <n v="202"/>
    <n v="15.8"/>
    <x v="2"/>
  </r>
  <r>
    <n v="4"/>
    <s v="Maven Toys Saltillo 1"/>
    <x v="2"/>
    <n v="24"/>
    <s v="Nerf Gun"/>
    <x v="4"/>
    <n v="20"/>
    <n v="491"/>
    <n v="25.9"/>
    <x v="2"/>
  </r>
  <r>
    <n v="4"/>
    <s v="Maven Toys Saltillo 1"/>
    <x v="2"/>
    <n v="25"/>
    <s v="PlayDoh Can"/>
    <x v="3"/>
    <n v="18"/>
    <n v="2423"/>
    <n v="4.7"/>
    <x v="2"/>
  </r>
  <r>
    <n v="3"/>
    <s v="Maven Toys Guadalajara 2"/>
    <x v="1"/>
    <n v="30"/>
    <s v="Rubik's Cube"/>
    <x v="1"/>
    <n v="43"/>
    <n v="1003"/>
    <n v="27.3"/>
    <x v="2"/>
  </r>
  <r>
    <n v="3"/>
    <s v="Maven Toys Guadalajara 2"/>
    <x v="1"/>
    <n v="31"/>
    <s v="Splash Balls"/>
    <x v="4"/>
    <n v="29"/>
    <n v="883"/>
    <n v="20.9"/>
    <x v="2"/>
  </r>
  <r>
    <n v="3"/>
    <s v="Maven Toys Guadalajara 2"/>
    <x v="1"/>
    <n v="32"/>
    <s v="Supersoaker Water Gun"/>
    <x v="4"/>
    <n v="4"/>
    <n v="126"/>
    <n v="20.2"/>
    <x v="2"/>
  </r>
  <r>
    <n v="3"/>
    <s v="Maven Toys Guadalajara 2"/>
    <x v="1"/>
    <n v="33"/>
    <s v="Teddy Bear"/>
    <x v="0"/>
    <n v="4"/>
    <n v="82"/>
    <n v="31.1"/>
    <x v="2"/>
  </r>
  <r>
    <n v="3"/>
    <s v="Maven Toys Guadalajara 2"/>
    <x v="1"/>
    <n v="34"/>
    <s v="Toy Robot"/>
    <x v="2"/>
    <n v="7"/>
    <n v="204"/>
    <n v="21.9"/>
    <x v="2"/>
  </r>
  <r>
    <n v="4"/>
    <s v="Maven Toys Saltillo 1"/>
    <x v="2"/>
    <n v="1"/>
    <s v="Action Figure"/>
    <x v="0"/>
    <n v="2"/>
    <n v="1027"/>
    <n v="1.2"/>
    <x v="2"/>
  </r>
  <r>
    <n v="4"/>
    <s v="Maven Toys Saltillo 1"/>
    <x v="2"/>
    <n v="2"/>
    <s v="Animal Figures"/>
    <x v="0"/>
    <n v="18"/>
    <n v="514"/>
    <n v="22.3"/>
    <x v="2"/>
  </r>
  <r>
    <n v="4"/>
    <s v="Maven Toys Saltillo 1"/>
    <x v="2"/>
    <n v="3"/>
    <s v="Barrel O' Slime"/>
    <x v="3"/>
    <n v="6"/>
    <n v="1861"/>
    <n v="2.1"/>
    <x v="2"/>
  </r>
  <r>
    <n v="4"/>
    <s v="Maven Toys Saltillo 1"/>
    <x v="2"/>
    <n v="4"/>
    <s v="Chutes &amp; Ladders"/>
    <x v="1"/>
    <n v="2"/>
    <n v="256"/>
    <n v="5"/>
    <x v="2"/>
  </r>
  <r>
    <n v="4"/>
    <s v="Maven Toys Saltillo 1"/>
    <x v="2"/>
    <n v="5"/>
    <s v="Classic Dominoes"/>
    <x v="1"/>
    <n v="14"/>
    <n v="255"/>
    <n v="35"/>
    <x v="2"/>
  </r>
  <r>
    <n v="4"/>
    <s v="Maven Toys Saltillo 1"/>
    <x v="2"/>
    <n v="6"/>
    <s v="Colorbuds"/>
    <x v="2"/>
    <n v="44"/>
    <n v="2996"/>
    <n v="9.4"/>
    <x v="2"/>
  </r>
  <r>
    <n v="4"/>
    <s v="Maven Toys Saltillo 1"/>
    <x v="2"/>
    <n v="7"/>
    <s v="Dart Gun"/>
    <x v="4"/>
    <n v="9"/>
    <n v="759"/>
    <n v="7.6"/>
    <x v="2"/>
  </r>
  <r>
    <n v="4"/>
    <s v="Maven Toys Saltillo 1"/>
    <x v="2"/>
    <n v="8"/>
    <s v="Deck Of Cards"/>
    <x v="1"/>
    <n v="15"/>
    <n v="2030"/>
    <n v="4.7"/>
    <x v="2"/>
  </r>
  <r>
    <n v="4"/>
    <s v="Maven Toys Saltillo 1"/>
    <x v="2"/>
    <n v="9"/>
    <s v="Dino Egg"/>
    <x v="0"/>
    <n v="27"/>
    <n v="695"/>
    <n v="24.7"/>
    <x v="2"/>
  </r>
  <r>
    <n v="4"/>
    <s v="Maven Toys Saltillo 1"/>
    <x v="2"/>
    <n v="10"/>
    <s v="Dinosaur Figures"/>
    <x v="0"/>
    <n v="8"/>
    <n v="520"/>
    <n v="9.8000000000000007"/>
    <x v="2"/>
  </r>
  <r>
    <n v="4"/>
    <s v="Maven Toys Saltillo 1"/>
    <x v="2"/>
    <n v="11"/>
    <s v="Etch A Sketch"/>
    <x v="3"/>
    <n v="3"/>
    <n v="177"/>
    <n v="10.8"/>
    <x v="2"/>
  </r>
  <r>
    <n v="4"/>
    <s v="Maven Toys Saltillo 1"/>
    <x v="2"/>
    <n v="12"/>
    <s v="Foam Disk Launcher"/>
    <x v="4"/>
    <n v="7"/>
    <n v="167"/>
    <n v="26.7"/>
    <x v="2"/>
  </r>
  <r>
    <n v="4"/>
    <s v="Maven Toys Saltillo 1"/>
    <x v="2"/>
    <n v="13"/>
    <s v="Gamer Headphones"/>
    <x v="2"/>
    <n v="4"/>
    <n v="535"/>
    <n v="4.8"/>
    <x v="2"/>
  </r>
  <r>
    <n v="4"/>
    <s v="Maven Toys Saltillo 1"/>
    <x v="2"/>
    <n v="14"/>
    <s v="Glass Marbles"/>
    <x v="1"/>
    <n v="4"/>
    <n v="657"/>
    <n v="3.9"/>
    <x v="2"/>
  </r>
  <r>
    <n v="4"/>
    <s v="Maven Toys Saltillo 1"/>
    <x v="2"/>
    <n v="15"/>
    <s v="Hot Wheels 5-Pack"/>
    <x v="0"/>
    <n v="9"/>
    <n v="532"/>
    <n v="10.8"/>
    <x v="2"/>
  </r>
  <r>
    <n v="4"/>
    <s v="Maven Toys Saltillo 1"/>
    <x v="2"/>
    <n v="16"/>
    <s v="Jenga"/>
    <x v="1"/>
    <n v="8"/>
    <n v="301"/>
    <n v="16.899999999999999"/>
    <x v="2"/>
  </r>
  <r>
    <n v="4"/>
    <s v="Maven Toys Saltillo 1"/>
    <x v="2"/>
    <n v="17"/>
    <s v="Kids Makeup Kit"/>
    <x v="3"/>
    <n v="2"/>
    <n v="386"/>
    <n v="3.3"/>
    <x v="2"/>
  </r>
  <r>
    <n v="4"/>
    <s v="Maven Toys Saltillo 1"/>
    <x v="2"/>
    <n v="18"/>
    <s v="Lego Bricks"/>
    <x v="0"/>
    <n v="17"/>
    <n v="1701"/>
    <n v="6.4"/>
    <x v="2"/>
  </r>
  <r>
    <n v="4"/>
    <s v="Maven Toys Saltillo 1"/>
    <x v="2"/>
    <n v="19"/>
    <s v="Magic Sand"/>
    <x v="3"/>
    <n v="2"/>
    <n v="1212"/>
    <n v="1.1000000000000001"/>
    <x v="2"/>
  </r>
  <r>
    <n v="3"/>
    <s v="Maven Toys Guadalajara 2"/>
    <x v="1"/>
    <n v="17"/>
    <s v="Kids Makeup Kit"/>
    <x v="3"/>
    <n v="1"/>
    <n v="396"/>
    <n v="1.6"/>
    <x v="2"/>
  </r>
  <r>
    <n v="3"/>
    <s v="Maven Toys Guadalajara 2"/>
    <x v="1"/>
    <n v="12"/>
    <s v="Foam Disk Launcher"/>
    <x v="4"/>
    <n v="4"/>
    <n v="120"/>
    <n v="21.2"/>
    <x v="2"/>
  </r>
  <r>
    <n v="3"/>
    <s v="Maven Toys Guadalajara 2"/>
    <x v="1"/>
    <n v="13"/>
    <s v="Gamer Headphones"/>
    <x v="2"/>
    <n v="8"/>
    <n v="232"/>
    <n v="22"/>
    <x v="2"/>
  </r>
  <r>
    <n v="3"/>
    <s v="Maven Toys Guadalajara 2"/>
    <x v="1"/>
    <n v="14"/>
    <s v="Glass Marbles"/>
    <x v="1"/>
    <n v="4"/>
    <n v="422"/>
    <n v="6"/>
    <x v="2"/>
  </r>
  <r>
    <n v="3"/>
    <s v="Maven Toys Guadalajara 2"/>
    <x v="1"/>
    <n v="19"/>
    <s v="Magic Sand"/>
    <x v="3"/>
    <n v="33"/>
    <n v="1376"/>
    <n v="15.3"/>
    <x v="2"/>
  </r>
  <r>
    <n v="3"/>
    <s v="Maven Toys Guadalajara 2"/>
    <x v="1"/>
    <n v="21"/>
    <s v="Mini Ping Pong Set"/>
    <x v="4"/>
    <n v="3"/>
    <n v="239"/>
    <n v="8"/>
    <x v="2"/>
  </r>
  <r>
    <n v="3"/>
    <s v="Maven Toys Guadalajara 2"/>
    <x v="1"/>
    <n v="24"/>
    <s v="Nerf Gun"/>
    <x v="4"/>
    <n v="15"/>
    <n v="451"/>
    <n v="21.2"/>
    <x v="2"/>
  </r>
  <r>
    <n v="3"/>
    <s v="Maven Toys Guadalajara 2"/>
    <x v="1"/>
    <n v="25"/>
    <s v="PlayDoh Can"/>
    <x v="3"/>
    <n v="44"/>
    <n v="2124"/>
    <n v="13.2"/>
    <x v="2"/>
  </r>
  <r>
    <n v="3"/>
    <s v="Maven Toys Guadalajara 2"/>
    <x v="1"/>
    <n v="1"/>
    <s v="Action Figure"/>
    <x v="0"/>
    <n v="17"/>
    <n v="1158"/>
    <n v="9.4"/>
    <x v="2"/>
  </r>
  <r>
    <n v="3"/>
    <s v="Maven Toys Guadalajara 2"/>
    <x v="1"/>
    <n v="2"/>
    <s v="Animal Figures"/>
    <x v="0"/>
    <n v="8"/>
    <n v="966"/>
    <n v="5.3"/>
    <x v="2"/>
  </r>
  <r>
    <n v="3"/>
    <s v="Maven Toys Guadalajara 2"/>
    <x v="1"/>
    <n v="3"/>
    <s v="Barrel O' Slime"/>
    <x v="3"/>
    <n v="35"/>
    <n v="1676"/>
    <n v="13.3"/>
    <x v="2"/>
  </r>
  <r>
    <n v="3"/>
    <s v="Maven Toys Guadalajara 2"/>
    <x v="1"/>
    <n v="6"/>
    <s v="Colorbuds"/>
    <x v="2"/>
    <n v="21"/>
    <n v="2629"/>
    <n v="5.0999999999999996"/>
    <x v="2"/>
  </r>
  <r>
    <n v="3"/>
    <s v="Maven Toys Guadalajara 2"/>
    <x v="1"/>
    <n v="7"/>
    <s v="Dart Gun"/>
    <x v="4"/>
    <n v="8"/>
    <n v="636"/>
    <n v="8"/>
    <x v="2"/>
  </r>
  <r>
    <n v="3"/>
    <s v="Maven Toys Guadalajara 2"/>
    <x v="1"/>
    <n v="8"/>
    <s v="Deck Of Cards"/>
    <x v="1"/>
    <n v="44"/>
    <n v="1838"/>
    <n v="15.2"/>
    <x v="2"/>
  </r>
  <r>
    <n v="3"/>
    <s v="Maven Toys Guadalajara 2"/>
    <x v="1"/>
    <n v="9"/>
    <s v="Dino Egg"/>
    <x v="0"/>
    <n v="4"/>
    <n v="901"/>
    <n v="2.8"/>
    <x v="2"/>
  </r>
  <r>
    <n v="2"/>
    <s v="Maven Toys Monterrey 1"/>
    <x v="0"/>
    <n v="12"/>
    <s v="Foam Disk Launcher"/>
    <x v="4"/>
    <n v="2"/>
    <n v="102"/>
    <n v="12.5"/>
    <x v="2"/>
  </r>
  <r>
    <n v="2"/>
    <s v="Maven Toys Monterrey 1"/>
    <x v="0"/>
    <n v="13"/>
    <s v="Gamer Headphones"/>
    <x v="2"/>
    <n v="3"/>
    <n v="353"/>
    <n v="5.4"/>
    <x v="2"/>
  </r>
  <r>
    <n v="2"/>
    <s v="Maven Toys Monterrey 1"/>
    <x v="0"/>
    <n v="15"/>
    <s v="Hot Wheels 5-Pack"/>
    <x v="0"/>
    <n v="20"/>
    <n v="515"/>
    <n v="24.7"/>
    <x v="2"/>
  </r>
  <r>
    <n v="2"/>
    <s v="Maven Toys Monterrey 1"/>
    <x v="0"/>
    <n v="17"/>
    <s v="Kids Makeup Kit"/>
    <x v="3"/>
    <n v="12"/>
    <n v="655"/>
    <n v="11.7"/>
    <x v="2"/>
  </r>
  <r>
    <n v="2"/>
    <s v="Maven Toys Monterrey 1"/>
    <x v="0"/>
    <n v="18"/>
    <s v="Lego Bricks"/>
    <x v="0"/>
    <n v="38"/>
    <n v="1661"/>
    <n v="14.6"/>
    <x v="2"/>
  </r>
  <r>
    <n v="2"/>
    <s v="Maven Toys Monterrey 1"/>
    <x v="0"/>
    <n v="19"/>
    <s v="Magic Sand"/>
    <x v="3"/>
    <n v="35"/>
    <n v="877"/>
    <n v="25.4"/>
    <x v="2"/>
  </r>
  <r>
    <n v="2"/>
    <s v="Maven Toys Monterrey 1"/>
    <x v="0"/>
    <n v="21"/>
    <s v="Mini Ping Pong Set"/>
    <x v="4"/>
    <n v="20"/>
    <n v="604"/>
    <n v="21.1"/>
    <x v="2"/>
  </r>
  <r>
    <n v="2"/>
    <s v="Maven Toys Monterrey 1"/>
    <x v="0"/>
    <n v="25"/>
    <s v="PlayDoh Can"/>
    <x v="3"/>
    <n v="32"/>
    <n v="2461"/>
    <n v="8.3000000000000007"/>
    <x v="2"/>
  </r>
  <r>
    <n v="2"/>
    <s v="Maven Toys Monterrey 1"/>
    <x v="0"/>
    <n v="28"/>
    <s v="Playfoam"/>
    <x v="3"/>
    <n v="2"/>
    <n v="48"/>
    <n v="26.5"/>
    <x v="2"/>
  </r>
  <r>
    <n v="2"/>
    <s v="Maven Toys Monterrey 1"/>
    <x v="0"/>
    <n v="29"/>
    <s v="Plush Pony"/>
    <x v="0"/>
    <n v="5"/>
    <n v="112"/>
    <n v="28.4"/>
    <x v="2"/>
  </r>
  <r>
    <n v="2"/>
    <s v="Maven Toys Monterrey 1"/>
    <x v="0"/>
    <n v="31"/>
    <s v="Splash Balls"/>
    <x v="4"/>
    <n v="18"/>
    <n v="768"/>
    <n v="14.9"/>
    <x v="2"/>
  </r>
  <r>
    <n v="2"/>
    <s v="Maven Toys Monterrey 1"/>
    <x v="0"/>
    <n v="10"/>
    <s v="Dinosaur Figures"/>
    <x v="0"/>
    <n v="10"/>
    <n v="722"/>
    <n v="8.8000000000000007"/>
    <x v="2"/>
  </r>
  <r>
    <n v="2"/>
    <s v="Maven Toys Monterrey 1"/>
    <x v="0"/>
    <n v="2"/>
    <s v="Animal Figures"/>
    <x v="0"/>
    <n v="6"/>
    <n v="689"/>
    <n v="5.5"/>
    <x v="2"/>
  </r>
  <r>
    <n v="2"/>
    <s v="Maven Toys Monterrey 1"/>
    <x v="0"/>
    <n v="3"/>
    <s v="Barrel O' Slime"/>
    <x v="3"/>
    <n v="18"/>
    <n v="2614"/>
    <n v="4.4000000000000004"/>
    <x v="2"/>
  </r>
  <r>
    <n v="2"/>
    <s v="Maven Toys Monterrey 1"/>
    <x v="0"/>
    <n v="6"/>
    <s v="Colorbuds"/>
    <x v="2"/>
    <n v="6"/>
    <n v="2053"/>
    <n v="1.9"/>
    <x v="2"/>
  </r>
  <r>
    <n v="2"/>
    <s v="Maven Toys Monterrey 1"/>
    <x v="0"/>
    <n v="7"/>
    <s v="Dart Gun"/>
    <x v="4"/>
    <n v="14"/>
    <n v="564"/>
    <n v="15.8"/>
    <x v="2"/>
  </r>
  <r>
    <n v="2"/>
    <s v="Maven Toys Monterrey 1"/>
    <x v="0"/>
    <n v="8"/>
    <s v="Deck Of Cards"/>
    <x v="1"/>
    <n v="76"/>
    <n v="1583"/>
    <n v="30.6"/>
    <x v="2"/>
  </r>
  <r>
    <n v="1"/>
    <s v="Maven Toys Guadalajara 1"/>
    <x v="0"/>
    <n v="3"/>
    <s v="Barrel O' Slime"/>
    <x v="3"/>
    <n v="32"/>
    <n v="1668"/>
    <n v="12.2"/>
    <x v="2"/>
  </r>
  <r>
    <n v="1"/>
    <s v="Maven Toys Guadalajara 1"/>
    <x v="0"/>
    <n v="29"/>
    <s v="Plush Pony"/>
    <x v="0"/>
    <n v="4"/>
    <n v="89"/>
    <n v="28.6"/>
    <x v="2"/>
  </r>
  <r>
    <n v="1"/>
    <s v="Maven Toys Guadalajara 1"/>
    <x v="0"/>
    <n v="30"/>
    <s v="Rubik's Cube"/>
    <x v="1"/>
    <n v="44"/>
    <n v="970"/>
    <n v="28.9"/>
    <x v="2"/>
  </r>
  <r>
    <n v="1"/>
    <s v="Maven Toys Guadalajara 1"/>
    <x v="0"/>
    <n v="31"/>
    <s v="Splash Balls"/>
    <x v="4"/>
    <n v="7"/>
    <n v="687"/>
    <n v="6.5"/>
    <x v="2"/>
  </r>
  <r>
    <n v="1"/>
    <s v="Maven Toys Guadalajara 1"/>
    <x v="0"/>
    <n v="32"/>
    <s v="Supersoaker Water Gun"/>
    <x v="4"/>
    <n v="4"/>
    <n v="170"/>
    <n v="15"/>
    <x v="2"/>
  </r>
  <r>
    <n v="1"/>
    <s v="Maven Toys Guadalajara 1"/>
    <x v="0"/>
    <n v="33"/>
    <s v="Teddy Bear"/>
    <x v="0"/>
    <n v="2"/>
    <n v="238"/>
    <n v="5.4"/>
    <x v="2"/>
  </r>
  <r>
    <n v="1"/>
    <s v="Maven Toys Guadalajara 1"/>
    <x v="0"/>
    <n v="7"/>
    <s v="Dart Gun"/>
    <x v="4"/>
    <n v="5"/>
    <n v="614"/>
    <n v="5.2"/>
    <x v="2"/>
  </r>
  <r>
    <n v="1"/>
    <s v="Maven Toys Guadalajara 1"/>
    <x v="0"/>
    <n v="8"/>
    <s v="Deck Of Cards"/>
    <x v="1"/>
    <n v="63"/>
    <n v="2124"/>
    <n v="18.899999999999999"/>
    <x v="2"/>
  </r>
  <r>
    <n v="1"/>
    <s v="Maven Toys Guadalajara 1"/>
    <x v="0"/>
    <n v="9"/>
    <s v="Dino Egg"/>
    <x v="0"/>
    <n v="12"/>
    <n v="620"/>
    <n v="12.3"/>
    <x v="2"/>
  </r>
  <r>
    <n v="1"/>
    <s v="Maven Toys Guadalajara 1"/>
    <x v="0"/>
    <n v="10"/>
    <s v="Dinosaur Figures"/>
    <x v="0"/>
    <n v="22"/>
    <n v="656"/>
    <n v="21.4"/>
    <x v="2"/>
  </r>
  <r>
    <n v="1"/>
    <s v="Maven Toys Guadalajara 1"/>
    <x v="0"/>
    <n v="11"/>
    <s v="Etch A Sketch"/>
    <x v="3"/>
    <n v="19"/>
    <n v="380"/>
    <n v="31.9"/>
    <x v="2"/>
  </r>
  <r>
    <n v="1"/>
    <s v="Maven Toys Guadalajara 1"/>
    <x v="0"/>
    <n v="12"/>
    <s v="Foam Disk Launcher"/>
    <x v="4"/>
    <n v="3"/>
    <n v="117"/>
    <n v="16.3"/>
    <x v="2"/>
  </r>
  <r>
    <n v="1"/>
    <s v="Maven Toys Guadalajara 1"/>
    <x v="0"/>
    <n v="13"/>
    <s v="Gamer Headphones"/>
    <x v="2"/>
    <n v="12"/>
    <n v="375"/>
    <n v="20.399999999999999"/>
    <x v="2"/>
  </r>
  <r>
    <n v="1"/>
    <s v="Maven Toys Guadalajara 1"/>
    <x v="0"/>
    <n v="14"/>
    <s v="Glass Marbles"/>
    <x v="1"/>
    <n v="3"/>
    <n v="433"/>
    <n v="4.4000000000000004"/>
    <x v="2"/>
  </r>
  <r>
    <n v="1"/>
    <s v="Maven Toys Guadalajara 1"/>
    <x v="0"/>
    <n v="15"/>
    <s v="Hot Wheels 5-Pack"/>
    <x v="0"/>
    <n v="2"/>
    <n v="371"/>
    <n v="3.4"/>
    <x v="2"/>
  </r>
  <r>
    <n v="1"/>
    <s v="Maven Toys Guadalajara 1"/>
    <x v="0"/>
    <n v="16"/>
    <s v="Jenga"/>
    <x v="1"/>
    <n v="8"/>
    <n v="244"/>
    <n v="20.9"/>
    <x v="2"/>
  </r>
  <r>
    <n v="1"/>
    <s v="Maven Toys Guadalajara 1"/>
    <x v="0"/>
    <n v="17"/>
    <s v="Kids Makeup Kit"/>
    <x v="3"/>
    <n v="7"/>
    <n v="491"/>
    <n v="9.1"/>
    <x v="2"/>
  </r>
  <r>
    <n v="1"/>
    <s v="Maven Toys Guadalajara 1"/>
    <x v="0"/>
    <n v="18"/>
    <s v="Lego Bricks"/>
    <x v="0"/>
    <n v="11"/>
    <n v="914"/>
    <n v="7.7"/>
    <x v="2"/>
  </r>
  <r>
    <n v="1"/>
    <s v="Maven Toys Guadalajara 1"/>
    <x v="0"/>
    <n v="19"/>
    <s v="Magic Sand"/>
    <x v="3"/>
    <n v="25"/>
    <n v="1536"/>
    <n v="10.4"/>
    <x v="2"/>
  </r>
  <r>
    <n v="1"/>
    <s v="Maven Toys Guadalajara 1"/>
    <x v="0"/>
    <n v="21"/>
    <s v="Mini Ping Pong Set"/>
    <x v="4"/>
    <n v="21"/>
    <n v="796"/>
    <n v="16.8"/>
    <x v="2"/>
  </r>
  <r>
    <n v="1"/>
    <s v="Maven Toys Guadalajara 1"/>
    <x v="0"/>
    <n v="22"/>
    <s v="Monopoly"/>
    <x v="1"/>
    <n v="2"/>
    <n v="87"/>
    <n v="14.6"/>
    <x v="2"/>
  </r>
  <r>
    <n v="1"/>
    <s v="Maven Toys Guadalajara 1"/>
    <x v="0"/>
    <n v="23"/>
    <s v="Mr. Potatohead"/>
    <x v="0"/>
    <n v="1"/>
    <n v="229"/>
    <n v="2.8"/>
    <x v="2"/>
  </r>
  <r>
    <n v="1"/>
    <s v="Maven Toys Guadalajara 1"/>
    <x v="0"/>
    <n v="24"/>
    <s v="Nerf Gun"/>
    <x v="4"/>
    <n v="9"/>
    <n v="524"/>
    <n v="10.9"/>
    <x v="2"/>
  </r>
  <r>
    <n v="1"/>
    <s v="Maven Toys Guadalajara 1"/>
    <x v="0"/>
    <n v="25"/>
    <s v="PlayDoh Can"/>
    <x v="3"/>
    <n v="54"/>
    <n v="1771"/>
    <n v="19.399999999999999"/>
    <x v="2"/>
  </r>
  <r>
    <n v="31"/>
    <s v="Maven Toys Ciudad de Mexico 2"/>
    <x v="3"/>
    <n v="27"/>
    <s v="PlayDoh Toolkit"/>
    <x v="3"/>
    <n v="27"/>
    <n v="889"/>
    <n v="19.3"/>
    <x v="2"/>
  </r>
  <r>
    <n v="31"/>
    <s v="Maven Toys Ciudad de Mexico 2"/>
    <x v="3"/>
    <n v="30"/>
    <s v="Rubik's Cube"/>
    <x v="1"/>
    <n v="66"/>
    <n v="1265"/>
    <n v="33.200000000000003"/>
    <x v="2"/>
  </r>
  <r>
    <n v="31"/>
    <s v="Maven Toys Ciudad de Mexico 2"/>
    <x v="3"/>
    <n v="31"/>
    <s v="Splash Balls"/>
    <x v="4"/>
    <n v="39"/>
    <n v="3070"/>
    <n v="8.1"/>
    <x v="2"/>
  </r>
  <r>
    <n v="31"/>
    <s v="Maven Toys Ciudad de Mexico 2"/>
    <x v="3"/>
    <n v="32"/>
    <s v="Supersoaker Water Gun"/>
    <x v="4"/>
    <n v="12"/>
    <n v="337"/>
    <n v="22.7"/>
    <x v="2"/>
  </r>
  <r>
    <n v="30"/>
    <s v="Maven Toys Guadalajara 3"/>
    <x v="3"/>
    <n v="30"/>
    <s v="Rubik's Cube"/>
    <x v="1"/>
    <n v="21"/>
    <n v="2433"/>
    <n v="5.5"/>
    <x v="2"/>
  </r>
  <r>
    <n v="30"/>
    <s v="Maven Toys Guadalajara 3"/>
    <x v="3"/>
    <n v="31"/>
    <s v="Splash Balls"/>
    <x v="4"/>
    <n v="20"/>
    <n v="1191"/>
    <n v="10.7"/>
    <x v="2"/>
  </r>
  <r>
    <n v="31"/>
    <s v="Maven Toys Ciudad de Mexico 2"/>
    <x v="3"/>
    <n v="21"/>
    <s v="Mini Ping Pong Set"/>
    <x v="4"/>
    <n v="6"/>
    <n v="563"/>
    <n v="6.8"/>
    <x v="2"/>
  </r>
  <r>
    <n v="31"/>
    <s v="Maven Toys Ciudad de Mexico 2"/>
    <x v="3"/>
    <n v="23"/>
    <s v="Mr. Potatohead"/>
    <x v="0"/>
    <n v="9"/>
    <n v="291"/>
    <n v="19.7"/>
    <x v="2"/>
  </r>
  <r>
    <n v="31"/>
    <s v="Maven Toys Ciudad de Mexico 2"/>
    <x v="3"/>
    <n v="24"/>
    <s v="Nerf Gun"/>
    <x v="4"/>
    <n v="29"/>
    <n v="1173"/>
    <n v="15.7"/>
    <x v="2"/>
  </r>
  <r>
    <n v="31"/>
    <s v="Maven Toys Ciudad de Mexico 2"/>
    <x v="3"/>
    <n v="25"/>
    <s v="PlayDoh Can"/>
    <x v="3"/>
    <n v="94"/>
    <n v="3274"/>
    <n v="18.3"/>
    <x v="2"/>
  </r>
  <r>
    <n v="30"/>
    <s v="Maven Toys Guadalajara 3"/>
    <x v="3"/>
    <n v="34"/>
    <s v="Toy Robot"/>
    <x v="2"/>
    <n v="18"/>
    <n v="477"/>
    <n v="24"/>
    <x v="2"/>
  </r>
  <r>
    <n v="31"/>
    <s v="Maven Toys Ciudad de Mexico 2"/>
    <x v="3"/>
    <n v="1"/>
    <s v="Action Figure"/>
    <x v="0"/>
    <n v="5"/>
    <n v="1877"/>
    <n v="1.7"/>
    <x v="2"/>
  </r>
  <r>
    <n v="31"/>
    <s v="Maven Toys Ciudad de Mexico 2"/>
    <x v="3"/>
    <n v="2"/>
    <s v="Animal Figures"/>
    <x v="0"/>
    <n v="36"/>
    <n v="1518"/>
    <n v="15.1"/>
    <x v="2"/>
  </r>
  <r>
    <n v="31"/>
    <s v="Maven Toys Ciudad de Mexico 2"/>
    <x v="3"/>
    <n v="3"/>
    <s v="Barrel O' Slime"/>
    <x v="3"/>
    <n v="36"/>
    <n v="3308"/>
    <n v="6.9"/>
    <x v="2"/>
  </r>
  <r>
    <n v="31"/>
    <s v="Maven Toys Ciudad de Mexico 2"/>
    <x v="3"/>
    <n v="6"/>
    <s v="Colorbuds"/>
    <x v="2"/>
    <n v="41"/>
    <n v="5627"/>
    <n v="4.5999999999999996"/>
    <x v="2"/>
  </r>
  <r>
    <n v="31"/>
    <s v="Maven Toys Ciudad de Mexico 2"/>
    <x v="3"/>
    <n v="7"/>
    <s v="Dart Gun"/>
    <x v="4"/>
    <n v="18"/>
    <n v="926"/>
    <n v="12.4"/>
    <x v="2"/>
  </r>
  <r>
    <n v="31"/>
    <s v="Maven Toys Ciudad de Mexico 2"/>
    <x v="3"/>
    <n v="8"/>
    <s v="Deck Of Cards"/>
    <x v="1"/>
    <n v="84"/>
    <n v="4650"/>
    <n v="11.5"/>
    <x v="2"/>
  </r>
  <r>
    <n v="31"/>
    <s v="Maven Toys Ciudad de Mexico 2"/>
    <x v="3"/>
    <n v="9"/>
    <s v="Dino Egg"/>
    <x v="0"/>
    <n v="10"/>
    <n v="1082"/>
    <n v="5.9"/>
    <x v="2"/>
  </r>
  <r>
    <n v="31"/>
    <s v="Maven Toys Ciudad de Mexico 2"/>
    <x v="3"/>
    <n v="11"/>
    <s v="Etch A Sketch"/>
    <x v="3"/>
    <n v="8"/>
    <n v="752"/>
    <n v="6.8"/>
    <x v="2"/>
  </r>
  <r>
    <n v="31"/>
    <s v="Maven Toys Ciudad de Mexico 2"/>
    <x v="3"/>
    <n v="12"/>
    <s v="Foam Disk Launcher"/>
    <x v="4"/>
    <n v="13"/>
    <n v="417"/>
    <n v="19.899999999999999"/>
    <x v="2"/>
  </r>
  <r>
    <n v="31"/>
    <s v="Maven Toys Ciudad de Mexico 2"/>
    <x v="3"/>
    <n v="13"/>
    <s v="Gamer Headphones"/>
    <x v="2"/>
    <n v="19"/>
    <n v="1062"/>
    <n v="11.4"/>
    <x v="2"/>
  </r>
  <r>
    <n v="31"/>
    <s v="Maven Toys Ciudad de Mexico 2"/>
    <x v="3"/>
    <n v="14"/>
    <s v="Glass Marbles"/>
    <x v="1"/>
    <n v="9"/>
    <n v="3587"/>
    <n v="1.6"/>
    <x v="2"/>
  </r>
  <r>
    <n v="31"/>
    <s v="Maven Toys Ciudad de Mexico 2"/>
    <x v="3"/>
    <n v="15"/>
    <s v="Hot Wheels 5-Pack"/>
    <x v="0"/>
    <n v="4"/>
    <n v="794"/>
    <n v="3.2"/>
    <x v="2"/>
  </r>
  <r>
    <n v="31"/>
    <s v="Maven Toys Ciudad de Mexico 2"/>
    <x v="3"/>
    <n v="17"/>
    <s v="Kids Makeup Kit"/>
    <x v="3"/>
    <n v="19"/>
    <n v="736"/>
    <n v="16.399999999999999"/>
    <x v="2"/>
  </r>
  <r>
    <n v="31"/>
    <s v="Maven Toys Ciudad de Mexico 2"/>
    <x v="3"/>
    <n v="18"/>
    <s v="Lego Bricks"/>
    <x v="0"/>
    <n v="2"/>
    <n v="2201"/>
    <n v="0.6"/>
    <x v="2"/>
  </r>
  <r>
    <n v="28"/>
    <s v="Maven Toys Puebla 2"/>
    <x v="2"/>
    <n v="27"/>
    <s v="PlayDoh Toolkit"/>
    <x v="3"/>
    <n v="24"/>
    <n v="515"/>
    <n v="29.7"/>
    <x v="2"/>
  </r>
  <r>
    <n v="28"/>
    <s v="Maven Toys Puebla 2"/>
    <x v="2"/>
    <n v="28"/>
    <s v="Playfoam"/>
    <x v="3"/>
    <n v="3"/>
    <n v="120"/>
    <n v="15.9"/>
    <x v="2"/>
  </r>
  <r>
    <n v="28"/>
    <s v="Maven Toys Puebla 2"/>
    <x v="2"/>
    <n v="29"/>
    <s v="Plush Pony"/>
    <x v="0"/>
    <n v="5"/>
    <n v="133"/>
    <n v="23.9"/>
    <x v="2"/>
  </r>
  <r>
    <n v="28"/>
    <s v="Maven Toys Puebla 2"/>
    <x v="2"/>
    <n v="30"/>
    <s v="Rubik's Cube"/>
    <x v="1"/>
    <n v="27"/>
    <n v="728"/>
    <n v="23.6"/>
    <x v="2"/>
  </r>
  <r>
    <n v="28"/>
    <s v="Maven Toys Puebla 2"/>
    <x v="2"/>
    <n v="31"/>
    <s v="Splash Balls"/>
    <x v="4"/>
    <n v="18"/>
    <n v="1672"/>
    <n v="6.9"/>
    <x v="2"/>
  </r>
  <r>
    <n v="28"/>
    <s v="Maven Toys Puebla 2"/>
    <x v="2"/>
    <n v="32"/>
    <s v="Supersoaker Water Gun"/>
    <x v="4"/>
    <n v="3"/>
    <n v="82"/>
    <n v="23.3"/>
    <x v="2"/>
  </r>
  <r>
    <n v="29"/>
    <s v="Maven Toys Xalapa 1"/>
    <x v="1"/>
    <n v="18"/>
    <s v="Lego Bricks"/>
    <x v="0"/>
    <n v="26"/>
    <n v="972"/>
    <n v="17"/>
    <x v="2"/>
  </r>
  <r>
    <n v="29"/>
    <s v="Maven Toys Xalapa 1"/>
    <x v="1"/>
    <n v="19"/>
    <s v="Magic Sand"/>
    <x v="3"/>
    <n v="12"/>
    <n v="1004"/>
    <n v="7.6"/>
    <x v="2"/>
  </r>
  <r>
    <n v="29"/>
    <s v="Maven Toys Xalapa 1"/>
    <x v="1"/>
    <n v="21"/>
    <s v="Mini Ping Pong Set"/>
    <x v="4"/>
    <n v="10"/>
    <n v="333"/>
    <n v="19.100000000000001"/>
    <x v="2"/>
  </r>
  <r>
    <n v="29"/>
    <s v="Maven Toys Xalapa 1"/>
    <x v="1"/>
    <n v="24"/>
    <s v="Nerf Gun"/>
    <x v="4"/>
    <n v="14"/>
    <n v="769"/>
    <n v="11.6"/>
    <x v="2"/>
  </r>
  <r>
    <n v="29"/>
    <s v="Maven Toys Xalapa 1"/>
    <x v="1"/>
    <n v="25"/>
    <s v="PlayDoh Can"/>
    <x v="3"/>
    <n v="47"/>
    <n v="993"/>
    <n v="30.2"/>
    <x v="2"/>
  </r>
  <r>
    <n v="29"/>
    <s v="Maven Toys Xalapa 1"/>
    <x v="1"/>
    <n v="26"/>
    <s v="PlayDoh Playset"/>
    <x v="3"/>
    <n v="2"/>
    <n v="67"/>
    <n v="19"/>
    <x v="2"/>
  </r>
  <r>
    <n v="29"/>
    <s v="Maven Toys Xalapa 1"/>
    <x v="1"/>
    <n v="28"/>
    <s v="Playfoam"/>
    <x v="3"/>
    <n v="1"/>
    <n v="26"/>
    <n v="24.5"/>
    <x v="2"/>
  </r>
  <r>
    <n v="29"/>
    <s v="Maven Toys Xalapa 1"/>
    <x v="1"/>
    <n v="30"/>
    <s v="Rubik's Cube"/>
    <x v="1"/>
    <n v="32"/>
    <n v="820"/>
    <n v="24.9"/>
    <x v="2"/>
  </r>
  <r>
    <n v="29"/>
    <s v="Maven Toys Xalapa 1"/>
    <x v="1"/>
    <n v="31"/>
    <s v="Splash Balls"/>
    <x v="4"/>
    <n v="3"/>
    <n v="833"/>
    <n v="2.2999999999999998"/>
    <x v="2"/>
  </r>
  <r>
    <n v="29"/>
    <s v="Maven Toys Xalapa 1"/>
    <x v="1"/>
    <n v="32"/>
    <s v="Supersoaker Water Gun"/>
    <x v="4"/>
    <n v="7"/>
    <n v="374"/>
    <n v="11.9"/>
    <x v="2"/>
  </r>
  <r>
    <n v="30"/>
    <s v="Maven Toys Guadalajara 3"/>
    <x v="3"/>
    <n v="9"/>
    <s v="Dino Egg"/>
    <x v="0"/>
    <n v="59"/>
    <n v="1303"/>
    <n v="28.8"/>
    <x v="2"/>
  </r>
  <r>
    <n v="30"/>
    <s v="Maven Toys Guadalajara 3"/>
    <x v="3"/>
    <n v="10"/>
    <s v="Dinosaur Figures"/>
    <x v="0"/>
    <n v="55"/>
    <n v="1327"/>
    <n v="26.4"/>
    <x v="2"/>
  </r>
  <r>
    <n v="30"/>
    <s v="Maven Toys Guadalajara 3"/>
    <x v="3"/>
    <n v="11"/>
    <s v="Etch A Sketch"/>
    <x v="3"/>
    <n v="3"/>
    <n v="432"/>
    <n v="4.4000000000000004"/>
    <x v="2"/>
  </r>
  <r>
    <n v="30"/>
    <s v="Maven Toys Guadalajara 3"/>
    <x v="3"/>
    <n v="12"/>
    <s v="Foam Disk Launcher"/>
    <x v="4"/>
    <n v="8"/>
    <n v="300"/>
    <n v="17"/>
    <x v="2"/>
  </r>
  <r>
    <n v="30"/>
    <s v="Maven Toys Guadalajara 3"/>
    <x v="3"/>
    <n v="13"/>
    <s v="Gamer Headphones"/>
    <x v="2"/>
    <n v="18"/>
    <n v="502"/>
    <n v="22.8"/>
    <x v="2"/>
  </r>
  <r>
    <n v="30"/>
    <s v="Maven Toys Guadalajara 3"/>
    <x v="3"/>
    <n v="14"/>
    <s v="Glass Marbles"/>
    <x v="1"/>
    <n v="10"/>
    <n v="986"/>
    <n v="6.5"/>
    <x v="2"/>
  </r>
  <r>
    <n v="30"/>
    <s v="Maven Toys Guadalajara 3"/>
    <x v="3"/>
    <n v="15"/>
    <s v="Hot Wheels 5-Pack"/>
    <x v="0"/>
    <n v="9"/>
    <n v="836"/>
    <n v="6.9"/>
    <x v="2"/>
  </r>
  <r>
    <n v="30"/>
    <s v="Maven Toys Guadalajara 3"/>
    <x v="3"/>
    <n v="17"/>
    <s v="Kids Makeup Kit"/>
    <x v="3"/>
    <n v="13"/>
    <n v="984"/>
    <n v="8.4"/>
    <x v="2"/>
  </r>
  <r>
    <n v="30"/>
    <s v="Maven Toys Guadalajara 3"/>
    <x v="3"/>
    <n v="18"/>
    <s v="Lego Bricks"/>
    <x v="0"/>
    <n v="9"/>
    <n v="1716"/>
    <n v="3.3"/>
    <x v="2"/>
  </r>
  <r>
    <n v="30"/>
    <s v="Maven Toys Guadalajara 3"/>
    <x v="3"/>
    <n v="19"/>
    <s v="Magic Sand"/>
    <x v="3"/>
    <n v="19"/>
    <n v="1257"/>
    <n v="9.6"/>
    <x v="2"/>
  </r>
  <r>
    <n v="30"/>
    <s v="Maven Toys Guadalajara 3"/>
    <x v="3"/>
    <n v="1"/>
    <s v="Action Figure"/>
    <x v="0"/>
    <n v="15"/>
    <n v="1651"/>
    <n v="5.8"/>
    <x v="2"/>
  </r>
  <r>
    <n v="30"/>
    <s v="Maven Toys Guadalajara 3"/>
    <x v="3"/>
    <n v="2"/>
    <s v="Animal Figures"/>
    <x v="0"/>
    <n v="30"/>
    <n v="1281"/>
    <n v="14.9"/>
    <x v="2"/>
  </r>
  <r>
    <n v="30"/>
    <s v="Maven Toys Guadalajara 3"/>
    <x v="3"/>
    <n v="3"/>
    <s v="Barrel O' Slime"/>
    <x v="3"/>
    <n v="10"/>
    <n v="2171"/>
    <n v="2.9"/>
    <x v="2"/>
  </r>
  <r>
    <n v="30"/>
    <s v="Maven Toys Guadalajara 3"/>
    <x v="3"/>
    <n v="6"/>
    <s v="Colorbuds"/>
    <x v="2"/>
    <n v="18"/>
    <n v="3809"/>
    <n v="3"/>
    <x v="2"/>
  </r>
  <r>
    <n v="30"/>
    <s v="Maven Toys Guadalajara 3"/>
    <x v="3"/>
    <n v="7"/>
    <s v="Dart Gun"/>
    <x v="4"/>
    <n v="13"/>
    <n v="1221"/>
    <n v="6.8"/>
    <x v="2"/>
  </r>
  <r>
    <n v="30"/>
    <s v="Maven Toys Guadalajara 3"/>
    <x v="3"/>
    <n v="23"/>
    <s v="Mr. Potatohead"/>
    <x v="0"/>
    <n v="12"/>
    <n v="222"/>
    <n v="34.4"/>
    <x v="2"/>
  </r>
  <r>
    <n v="30"/>
    <s v="Maven Toys Guadalajara 3"/>
    <x v="3"/>
    <n v="24"/>
    <s v="Nerf Gun"/>
    <x v="4"/>
    <n v="23"/>
    <n v="1152"/>
    <n v="12.7"/>
    <x v="2"/>
  </r>
  <r>
    <n v="30"/>
    <s v="Maven Toys Guadalajara 3"/>
    <x v="3"/>
    <n v="25"/>
    <s v="PlayDoh Can"/>
    <x v="3"/>
    <n v="6"/>
    <n v="3155"/>
    <n v="1.2"/>
    <x v="2"/>
  </r>
  <r>
    <n v="30"/>
    <s v="Maven Toys Guadalajara 3"/>
    <x v="3"/>
    <n v="26"/>
    <s v="PlayDoh Playset"/>
    <x v="3"/>
    <n v="13"/>
    <n v="327"/>
    <n v="25.3"/>
    <x v="2"/>
  </r>
  <r>
    <n v="30"/>
    <s v="Maven Toys Guadalajara 3"/>
    <x v="3"/>
    <n v="27"/>
    <s v="PlayDoh Toolkit"/>
    <x v="3"/>
    <n v="29"/>
    <n v="1178"/>
    <n v="15.7"/>
    <x v="2"/>
  </r>
  <r>
    <n v="27"/>
    <s v="Maven Toys Oaxaca 1"/>
    <x v="2"/>
    <n v="27"/>
    <s v="PlayDoh Toolkit"/>
    <x v="3"/>
    <n v="11"/>
    <n v="265"/>
    <n v="26.4"/>
    <x v="2"/>
  </r>
  <r>
    <n v="27"/>
    <s v="Maven Toys Oaxaca 1"/>
    <x v="2"/>
    <n v="28"/>
    <s v="Playfoam"/>
    <x v="3"/>
    <n v="8"/>
    <n v="223"/>
    <n v="22.9"/>
    <x v="2"/>
  </r>
  <r>
    <n v="27"/>
    <s v="Maven Toys Oaxaca 1"/>
    <x v="2"/>
    <n v="30"/>
    <s v="Rubik's Cube"/>
    <x v="1"/>
    <n v="37"/>
    <n v="970"/>
    <n v="24.3"/>
    <x v="2"/>
  </r>
  <r>
    <n v="27"/>
    <s v="Maven Toys Oaxaca 1"/>
    <x v="2"/>
    <n v="31"/>
    <s v="Splash Balls"/>
    <x v="4"/>
    <n v="13"/>
    <n v="956"/>
    <n v="8.6999999999999993"/>
    <x v="2"/>
  </r>
  <r>
    <n v="28"/>
    <s v="Maven Toys Puebla 2"/>
    <x v="2"/>
    <n v="3"/>
    <s v="Barrel O' Slime"/>
    <x v="3"/>
    <n v="60"/>
    <n v="3398"/>
    <n v="11.2"/>
    <x v="2"/>
  </r>
  <r>
    <n v="28"/>
    <s v="Maven Toys Puebla 2"/>
    <x v="2"/>
    <n v="6"/>
    <s v="Colorbuds"/>
    <x v="2"/>
    <n v="16"/>
    <n v="883"/>
    <n v="11.5"/>
    <x v="2"/>
  </r>
  <r>
    <n v="28"/>
    <s v="Maven Toys Puebla 2"/>
    <x v="2"/>
    <n v="7"/>
    <s v="Dart Gun"/>
    <x v="4"/>
    <n v="10"/>
    <n v="584"/>
    <n v="10.9"/>
    <x v="2"/>
  </r>
  <r>
    <n v="28"/>
    <s v="Maven Toys Puebla 2"/>
    <x v="2"/>
    <n v="8"/>
    <s v="Deck Of Cards"/>
    <x v="1"/>
    <n v="45"/>
    <n v="1269"/>
    <n v="22.6"/>
    <x v="2"/>
  </r>
  <r>
    <n v="28"/>
    <s v="Maven Toys Puebla 2"/>
    <x v="2"/>
    <n v="9"/>
    <s v="Dino Egg"/>
    <x v="0"/>
    <n v="7"/>
    <n v="952"/>
    <n v="4.7"/>
    <x v="2"/>
  </r>
  <r>
    <n v="28"/>
    <s v="Maven Toys Puebla 2"/>
    <x v="2"/>
    <n v="10"/>
    <s v="Dinosaur Figures"/>
    <x v="0"/>
    <n v="8"/>
    <n v="667"/>
    <n v="7.6"/>
    <x v="2"/>
  </r>
  <r>
    <n v="28"/>
    <s v="Maven Toys Puebla 2"/>
    <x v="2"/>
    <n v="11"/>
    <s v="Etch A Sketch"/>
    <x v="3"/>
    <n v="4"/>
    <n v="395"/>
    <n v="6.5"/>
    <x v="2"/>
  </r>
  <r>
    <n v="28"/>
    <s v="Maven Toys Puebla 2"/>
    <x v="2"/>
    <n v="12"/>
    <s v="Foam Disk Launcher"/>
    <x v="4"/>
    <n v="4"/>
    <n v="174"/>
    <n v="14.6"/>
    <x v="2"/>
  </r>
  <r>
    <n v="28"/>
    <s v="Maven Toys Puebla 2"/>
    <x v="2"/>
    <n v="13"/>
    <s v="Gamer Headphones"/>
    <x v="2"/>
    <n v="2"/>
    <n v="235"/>
    <n v="5.4"/>
    <x v="2"/>
  </r>
  <r>
    <n v="28"/>
    <s v="Maven Toys Puebla 2"/>
    <x v="2"/>
    <n v="14"/>
    <s v="Glass Marbles"/>
    <x v="1"/>
    <n v="17"/>
    <n v="612"/>
    <n v="17.7"/>
    <x v="2"/>
  </r>
  <r>
    <n v="28"/>
    <s v="Maven Toys Puebla 2"/>
    <x v="2"/>
    <n v="17"/>
    <s v="Kids Makeup Kit"/>
    <x v="3"/>
    <n v="17"/>
    <n v="605"/>
    <n v="17.899999999999999"/>
    <x v="2"/>
  </r>
  <r>
    <n v="28"/>
    <s v="Maven Toys Puebla 2"/>
    <x v="2"/>
    <n v="18"/>
    <s v="Lego Bricks"/>
    <x v="0"/>
    <n v="24"/>
    <n v="1176"/>
    <n v="13"/>
    <x v="2"/>
  </r>
  <r>
    <n v="28"/>
    <s v="Maven Toys Puebla 2"/>
    <x v="2"/>
    <n v="19"/>
    <s v="Magic Sand"/>
    <x v="3"/>
    <n v="13"/>
    <n v="1079"/>
    <n v="7.7"/>
    <x v="2"/>
  </r>
  <r>
    <n v="28"/>
    <s v="Maven Toys Puebla 2"/>
    <x v="2"/>
    <n v="21"/>
    <s v="Mini Ping Pong Set"/>
    <x v="4"/>
    <n v="11"/>
    <n v="278"/>
    <n v="25.2"/>
    <x v="2"/>
  </r>
  <r>
    <n v="27"/>
    <s v="Maven Toys Oaxaca 1"/>
    <x v="2"/>
    <n v="34"/>
    <s v="Toy Robot"/>
    <x v="2"/>
    <n v="9"/>
    <n v="371"/>
    <n v="15.5"/>
    <x v="2"/>
  </r>
  <r>
    <n v="28"/>
    <s v="Maven Toys Puebla 2"/>
    <x v="2"/>
    <n v="1"/>
    <s v="Action Figure"/>
    <x v="0"/>
    <n v="6"/>
    <n v="1409"/>
    <n v="2.7"/>
    <x v="2"/>
  </r>
  <r>
    <n v="28"/>
    <s v="Maven Toys Puebla 2"/>
    <x v="2"/>
    <n v="24"/>
    <s v="Nerf Gun"/>
    <x v="4"/>
    <n v="19"/>
    <n v="626"/>
    <n v="19.3"/>
    <x v="2"/>
  </r>
  <r>
    <n v="28"/>
    <s v="Maven Toys Puebla 2"/>
    <x v="2"/>
    <n v="25"/>
    <s v="PlayDoh Can"/>
    <x v="3"/>
    <n v="10"/>
    <n v="2184"/>
    <n v="2.9"/>
    <x v="2"/>
  </r>
  <r>
    <n v="28"/>
    <s v="Maven Toys Puebla 2"/>
    <x v="2"/>
    <n v="34"/>
    <s v="Toy Robot"/>
    <x v="2"/>
    <n v="19"/>
    <n v="433"/>
    <n v="28"/>
    <x v="2"/>
  </r>
  <r>
    <n v="29"/>
    <s v="Maven Toys Xalapa 1"/>
    <x v="1"/>
    <n v="1"/>
    <s v="Action Figure"/>
    <x v="0"/>
    <n v="2"/>
    <n v="1117"/>
    <n v="1.1000000000000001"/>
    <x v="2"/>
  </r>
  <r>
    <n v="29"/>
    <s v="Maven Toys Xalapa 1"/>
    <x v="1"/>
    <n v="2"/>
    <s v="Animal Figures"/>
    <x v="0"/>
    <n v="15"/>
    <n v="956"/>
    <n v="10"/>
    <x v="2"/>
  </r>
  <r>
    <n v="29"/>
    <s v="Maven Toys Xalapa 1"/>
    <x v="1"/>
    <n v="3"/>
    <s v="Barrel O' Slime"/>
    <x v="3"/>
    <n v="17"/>
    <n v="1077"/>
    <n v="10.1"/>
    <x v="2"/>
  </r>
  <r>
    <n v="29"/>
    <s v="Maven Toys Xalapa 1"/>
    <x v="1"/>
    <n v="6"/>
    <s v="Colorbuds"/>
    <x v="2"/>
    <n v="17"/>
    <n v="2160"/>
    <n v="5"/>
    <x v="2"/>
  </r>
  <r>
    <n v="29"/>
    <s v="Maven Toys Xalapa 1"/>
    <x v="1"/>
    <n v="7"/>
    <s v="Dart Gun"/>
    <x v="4"/>
    <n v="10"/>
    <n v="734"/>
    <n v="8.6999999999999993"/>
    <x v="2"/>
  </r>
  <r>
    <n v="29"/>
    <s v="Maven Toys Xalapa 1"/>
    <x v="1"/>
    <n v="8"/>
    <s v="Deck Of Cards"/>
    <x v="1"/>
    <n v="10"/>
    <n v="1091"/>
    <n v="5.8"/>
    <x v="2"/>
  </r>
  <r>
    <n v="29"/>
    <s v="Maven Toys Xalapa 1"/>
    <x v="1"/>
    <n v="9"/>
    <s v="Dino Egg"/>
    <x v="0"/>
    <n v="6"/>
    <n v="580"/>
    <n v="6.6"/>
    <x v="2"/>
  </r>
  <r>
    <n v="29"/>
    <s v="Maven Toys Xalapa 1"/>
    <x v="1"/>
    <n v="10"/>
    <s v="Dinosaur Figures"/>
    <x v="0"/>
    <n v="45"/>
    <n v="1034"/>
    <n v="27.7"/>
    <x v="2"/>
  </r>
  <r>
    <n v="29"/>
    <s v="Maven Toys Xalapa 1"/>
    <x v="1"/>
    <n v="11"/>
    <s v="Etch A Sketch"/>
    <x v="3"/>
    <n v="8"/>
    <n v="218"/>
    <n v="23.4"/>
    <x v="2"/>
  </r>
  <r>
    <n v="29"/>
    <s v="Maven Toys Xalapa 1"/>
    <x v="1"/>
    <n v="12"/>
    <s v="Foam Disk Launcher"/>
    <x v="4"/>
    <n v="6"/>
    <n v="157"/>
    <n v="24.3"/>
    <x v="2"/>
  </r>
  <r>
    <n v="29"/>
    <s v="Maven Toys Xalapa 1"/>
    <x v="1"/>
    <n v="13"/>
    <s v="Gamer Headphones"/>
    <x v="2"/>
    <n v="5"/>
    <n v="401"/>
    <n v="7.9"/>
    <x v="2"/>
  </r>
  <r>
    <n v="29"/>
    <s v="Maven Toys Xalapa 1"/>
    <x v="1"/>
    <n v="14"/>
    <s v="Glass Marbles"/>
    <x v="1"/>
    <n v="5"/>
    <n v="1005"/>
    <n v="3.2"/>
    <x v="2"/>
  </r>
  <r>
    <n v="29"/>
    <s v="Maven Toys Xalapa 1"/>
    <x v="1"/>
    <n v="15"/>
    <s v="Hot Wheels 5-Pack"/>
    <x v="0"/>
    <n v="18"/>
    <n v="771"/>
    <n v="14.9"/>
    <x v="2"/>
  </r>
  <r>
    <n v="27"/>
    <s v="Maven Toys Oaxaca 1"/>
    <x v="2"/>
    <n v="12"/>
    <s v="Foam Disk Launcher"/>
    <x v="4"/>
    <n v="5"/>
    <n v="229"/>
    <n v="13.9"/>
    <x v="2"/>
  </r>
  <r>
    <n v="25"/>
    <s v="Maven Toys Ciudad Victoria 1"/>
    <x v="2"/>
    <n v="30"/>
    <s v="Rubik's Cube"/>
    <x v="1"/>
    <n v="46"/>
    <n v="1088"/>
    <n v="26.9"/>
    <x v="2"/>
  </r>
  <r>
    <n v="27"/>
    <s v="Maven Toys Oaxaca 1"/>
    <x v="2"/>
    <n v="25"/>
    <s v="PlayDoh Can"/>
    <x v="3"/>
    <n v="18"/>
    <n v="1253"/>
    <n v="9.1999999999999993"/>
    <x v="2"/>
  </r>
  <r>
    <n v="26"/>
    <s v="Maven Toys Campeche 2"/>
    <x v="1"/>
    <n v="31"/>
    <s v="Splash Balls"/>
    <x v="4"/>
    <n v="4"/>
    <n v="550"/>
    <n v="4.5999999999999996"/>
    <x v="2"/>
  </r>
  <r>
    <n v="26"/>
    <s v="Maven Toys Campeche 2"/>
    <x v="1"/>
    <n v="32"/>
    <s v="Supersoaker Water Gun"/>
    <x v="4"/>
    <n v="2"/>
    <n v="201"/>
    <n v="6.3"/>
    <x v="2"/>
  </r>
  <r>
    <n v="26"/>
    <s v="Maven Toys Campeche 2"/>
    <x v="1"/>
    <n v="33"/>
    <s v="Teddy Bear"/>
    <x v="0"/>
    <n v="2"/>
    <n v="135"/>
    <n v="9.4"/>
    <x v="2"/>
  </r>
  <r>
    <n v="27"/>
    <s v="Maven Toys Oaxaca 1"/>
    <x v="2"/>
    <n v="14"/>
    <s v="Glass Marbles"/>
    <x v="1"/>
    <n v="21"/>
    <n v="548"/>
    <n v="24.4"/>
    <x v="2"/>
  </r>
  <r>
    <n v="27"/>
    <s v="Maven Toys Oaxaca 1"/>
    <x v="2"/>
    <n v="15"/>
    <s v="Hot Wheels 5-Pack"/>
    <x v="0"/>
    <n v="3"/>
    <n v="308"/>
    <n v="6.2"/>
    <x v="2"/>
  </r>
  <r>
    <n v="27"/>
    <s v="Maven Toys Oaxaca 1"/>
    <x v="2"/>
    <n v="17"/>
    <s v="Kids Makeup Kit"/>
    <x v="3"/>
    <n v="2"/>
    <n v="229"/>
    <n v="5.6"/>
    <x v="2"/>
  </r>
  <r>
    <n v="27"/>
    <s v="Maven Toys Oaxaca 1"/>
    <x v="2"/>
    <n v="18"/>
    <s v="Lego Bricks"/>
    <x v="0"/>
    <n v="18"/>
    <n v="1281"/>
    <n v="9"/>
    <x v="2"/>
  </r>
  <r>
    <n v="27"/>
    <s v="Maven Toys Oaxaca 1"/>
    <x v="2"/>
    <n v="19"/>
    <s v="Magic Sand"/>
    <x v="3"/>
    <n v="34"/>
    <n v="1563"/>
    <n v="13.9"/>
    <x v="2"/>
  </r>
  <r>
    <n v="27"/>
    <s v="Maven Toys Oaxaca 1"/>
    <x v="2"/>
    <n v="21"/>
    <s v="Mini Ping Pong Set"/>
    <x v="4"/>
    <n v="2"/>
    <n v="257"/>
    <n v="5"/>
    <x v="2"/>
  </r>
  <r>
    <n v="26"/>
    <s v="Maven Toys Campeche 2"/>
    <x v="1"/>
    <n v="23"/>
    <s v="Mr. Potatohead"/>
    <x v="0"/>
    <n v="4"/>
    <n v="124"/>
    <n v="20.5"/>
    <x v="2"/>
  </r>
  <r>
    <n v="26"/>
    <s v="Maven Toys Campeche 2"/>
    <x v="1"/>
    <n v="24"/>
    <s v="Nerf Gun"/>
    <x v="4"/>
    <n v="11"/>
    <n v="494"/>
    <n v="14.2"/>
    <x v="2"/>
  </r>
  <r>
    <n v="26"/>
    <s v="Maven Toys Campeche 2"/>
    <x v="1"/>
    <n v="25"/>
    <s v="PlayDoh Can"/>
    <x v="3"/>
    <n v="71"/>
    <n v="1446"/>
    <n v="31.3"/>
    <x v="2"/>
  </r>
  <r>
    <n v="26"/>
    <s v="Maven Toys Campeche 2"/>
    <x v="1"/>
    <n v="26"/>
    <s v="PlayDoh Playset"/>
    <x v="3"/>
    <n v="4"/>
    <n v="192"/>
    <n v="13.3"/>
    <x v="2"/>
  </r>
  <r>
    <n v="26"/>
    <s v="Maven Toys Campeche 2"/>
    <x v="1"/>
    <n v="27"/>
    <s v="PlayDoh Toolkit"/>
    <x v="3"/>
    <n v="8"/>
    <n v="319"/>
    <n v="16"/>
    <x v="2"/>
  </r>
  <r>
    <n v="27"/>
    <s v="Maven Toys Oaxaca 1"/>
    <x v="2"/>
    <n v="1"/>
    <s v="Action Figure"/>
    <x v="0"/>
    <n v="27"/>
    <n v="1008"/>
    <n v="17.100000000000001"/>
    <x v="2"/>
  </r>
  <r>
    <n v="27"/>
    <s v="Maven Toys Oaxaca 1"/>
    <x v="2"/>
    <n v="2"/>
    <s v="Animal Figures"/>
    <x v="0"/>
    <n v="30"/>
    <n v="947"/>
    <n v="20.2"/>
    <x v="2"/>
  </r>
  <r>
    <n v="27"/>
    <s v="Maven Toys Oaxaca 1"/>
    <x v="2"/>
    <n v="3"/>
    <s v="Barrel O' Slime"/>
    <x v="3"/>
    <n v="55"/>
    <n v="3155"/>
    <n v="11.1"/>
    <x v="2"/>
  </r>
  <r>
    <n v="27"/>
    <s v="Maven Toys Oaxaca 1"/>
    <x v="2"/>
    <n v="6"/>
    <s v="Colorbuds"/>
    <x v="2"/>
    <n v="7"/>
    <n v="854"/>
    <n v="5.2"/>
    <x v="2"/>
  </r>
  <r>
    <n v="27"/>
    <s v="Maven Toys Oaxaca 1"/>
    <x v="2"/>
    <n v="7"/>
    <s v="Dart Gun"/>
    <x v="4"/>
    <n v="22"/>
    <n v="476"/>
    <n v="29.4"/>
    <x v="2"/>
  </r>
  <r>
    <n v="27"/>
    <s v="Maven Toys Oaxaca 1"/>
    <x v="2"/>
    <n v="8"/>
    <s v="Deck Of Cards"/>
    <x v="1"/>
    <n v="12"/>
    <n v="1240"/>
    <n v="6.2"/>
    <x v="2"/>
  </r>
  <r>
    <n v="27"/>
    <s v="Maven Toys Oaxaca 1"/>
    <x v="2"/>
    <n v="9"/>
    <s v="Dino Egg"/>
    <x v="0"/>
    <n v="6"/>
    <n v="1080"/>
    <n v="3.5"/>
    <x v="2"/>
  </r>
  <r>
    <n v="26"/>
    <s v="Maven Toys Campeche 2"/>
    <x v="1"/>
    <n v="1"/>
    <s v="Action Figure"/>
    <x v="0"/>
    <n v="6"/>
    <n v="766"/>
    <n v="5"/>
    <x v="2"/>
  </r>
  <r>
    <n v="26"/>
    <s v="Maven Toys Campeche 2"/>
    <x v="1"/>
    <n v="2"/>
    <s v="Animal Figures"/>
    <x v="0"/>
    <n v="15"/>
    <n v="676"/>
    <n v="14.1"/>
    <x v="2"/>
  </r>
  <r>
    <n v="26"/>
    <s v="Maven Toys Campeche 2"/>
    <x v="1"/>
    <n v="3"/>
    <s v="Barrel O' Slime"/>
    <x v="3"/>
    <n v="15"/>
    <n v="1849"/>
    <n v="5.2"/>
    <x v="2"/>
  </r>
  <r>
    <n v="24"/>
    <s v="Maven Toys Aguascalientes 1"/>
    <x v="2"/>
    <n v="29"/>
    <s v="Plush Pony"/>
    <x v="0"/>
    <n v="3"/>
    <n v="96"/>
    <n v="19.899999999999999"/>
    <x v="2"/>
  </r>
  <r>
    <n v="24"/>
    <s v="Maven Toys Aguascalientes 1"/>
    <x v="2"/>
    <n v="31"/>
    <s v="Splash Balls"/>
    <x v="4"/>
    <n v="10"/>
    <n v="627"/>
    <n v="10.199999999999999"/>
    <x v="2"/>
  </r>
  <r>
    <n v="25"/>
    <s v="Maven Toys Ciudad Victoria 1"/>
    <x v="2"/>
    <n v="24"/>
    <s v="Nerf Gun"/>
    <x v="4"/>
    <n v="10"/>
    <n v="258"/>
    <n v="24.7"/>
    <x v="2"/>
  </r>
  <r>
    <n v="25"/>
    <s v="Maven Toys Ciudad Victoria 1"/>
    <x v="2"/>
    <n v="25"/>
    <s v="PlayDoh Can"/>
    <x v="3"/>
    <n v="80"/>
    <n v="2256"/>
    <n v="22.6"/>
    <x v="2"/>
  </r>
  <r>
    <n v="25"/>
    <s v="Maven Toys Ciudad Victoria 1"/>
    <x v="2"/>
    <n v="26"/>
    <s v="PlayDoh Playset"/>
    <x v="3"/>
    <n v="3"/>
    <n v="148"/>
    <n v="12.9"/>
    <x v="2"/>
  </r>
  <r>
    <n v="26"/>
    <s v="Maven Toys Campeche 2"/>
    <x v="1"/>
    <n v="6"/>
    <s v="Colorbuds"/>
    <x v="2"/>
    <n v="23"/>
    <n v="1352"/>
    <n v="10.8"/>
    <x v="2"/>
  </r>
  <r>
    <n v="26"/>
    <s v="Maven Toys Campeche 2"/>
    <x v="1"/>
    <n v="7"/>
    <s v="Dart Gun"/>
    <x v="4"/>
    <n v="16"/>
    <n v="394"/>
    <n v="25.9"/>
    <x v="2"/>
  </r>
  <r>
    <n v="26"/>
    <s v="Maven Toys Campeche 2"/>
    <x v="1"/>
    <n v="8"/>
    <s v="Deck Of Cards"/>
    <x v="1"/>
    <n v="22"/>
    <n v="1398"/>
    <n v="10"/>
    <x v="2"/>
  </r>
  <r>
    <n v="26"/>
    <s v="Maven Toys Campeche 2"/>
    <x v="1"/>
    <n v="9"/>
    <s v="Dino Egg"/>
    <x v="0"/>
    <n v="15"/>
    <n v="400"/>
    <n v="23.9"/>
    <x v="2"/>
  </r>
  <r>
    <n v="24"/>
    <s v="Maven Toys Aguascalientes 1"/>
    <x v="2"/>
    <n v="33"/>
    <s v="Teddy Bear"/>
    <x v="0"/>
    <n v="4"/>
    <n v="123"/>
    <n v="20.7"/>
    <x v="2"/>
  </r>
  <r>
    <n v="26"/>
    <s v="Maven Toys Campeche 2"/>
    <x v="1"/>
    <n v="11"/>
    <s v="Etch A Sketch"/>
    <x v="3"/>
    <n v="2"/>
    <n v="146"/>
    <n v="8.6999999999999993"/>
    <x v="2"/>
  </r>
  <r>
    <n v="26"/>
    <s v="Maven Toys Campeche 2"/>
    <x v="1"/>
    <n v="17"/>
    <s v="Kids Makeup Kit"/>
    <x v="3"/>
    <n v="6"/>
    <n v="266"/>
    <n v="14.4"/>
    <x v="2"/>
  </r>
  <r>
    <n v="26"/>
    <s v="Maven Toys Campeche 2"/>
    <x v="1"/>
    <n v="18"/>
    <s v="Lego Bricks"/>
    <x v="0"/>
    <n v="7"/>
    <n v="642"/>
    <n v="6.9"/>
    <x v="2"/>
  </r>
  <r>
    <n v="26"/>
    <s v="Maven Toys Campeche 2"/>
    <x v="1"/>
    <n v="14"/>
    <s v="Glass Marbles"/>
    <x v="1"/>
    <n v="2"/>
    <n v="393"/>
    <n v="3.2"/>
    <x v="2"/>
  </r>
  <r>
    <n v="26"/>
    <s v="Maven Toys Campeche 2"/>
    <x v="1"/>
    <n v="15"/>
    <s v="Hot Wheels 5-Pack"/>
    <x v="0"/>
    <n v="20"/>
    <n v="405"/>
    <n v="31.5"/>
    <x v="2"/>
  </r>
  <r>
    <n v="26"/>
    <s v="Maven Toys Campeche 2"/>
    <x v="1"/>
    <n v="21"/>
    <s v="Mini Ping Pong Set"/>
    <x v="4"/>
    <n v="26"/>
    <n v="868"/>
    <n v="19.100000000000001"/>
    <x v="2"/>
  </r>
  <r>
    <n v="24"/>
    <s v="Maven Toys Aguascalientes 1"/>
    <x v="2"/>
    <n v="18"/>
    <s v="Lego Bricks"/>
    <x v="0"/>
    <n v="20"/>
    <n v="1021"/>
    <n v="12.5"/>
    <x v="2"/>
  </r>
  <r>
    <n v="24"/>
    <s v="Maven Toys Aguascalientes 1"/>
    <x v="2"/>
    <n v="24"/>
    <s v="Nerf Gun"/>
    <x v="4"/>
    <n v="4"/>
    <n v="438"/>
    <n v="5.8"/>
    <x v="2"/>
  </r>
  <r>
    <n v="24"/>
    <s v="Maven Toys Aguascalientes 1"/>
    <x v="2"/>
    <n v="25"/>
    <s v="PlayDoh Can"/>
    <x v="3"/>
    <n v="48"/>
    <n v="1189"/>
    <n v="25.7"/>
    <x v="2"/>
  </r>
  <r>
    <n v="24"/>
    <s v="Maven Toys Aguascalientes 1"/>
    <x v="2"/>
    <n v="16"/>
    <s v="Jenga"/>
    <x v="1"/>
    <n v="3"/>
    <n v="233"/>
    <n v="8.1999999999999993"/>
    <x v="2"/>
  </r>
  <r>
    <n v="24"/>
    <s v="Maven Toys Aguascalientes 1"/>
    <x v="2"/>
    <n v="13"/>
    <s v="Gamer Headphones"/>
    <x v="2"/>
    <n v="10"/>
    <n v="266"/>
    <n v="23.9"/>
    <x v="2"/>
  </r>
  <r>
    <n v="23"/>
    <s v="Maven Toys Chihuahua 1"/>
    <x v="1"/>
    <n v="30"/>
    <s v="Rubik's Cube"/>
    <x v="1"/>
    <n v="38"/>
    <n v="723"/>
    <n v="33.5"/>
    <x v="2"/>
  </r>
  <r>
    <n v="23"/>
    <s v="Maven Toys Chihuahua 1"/>
    <x v="1"/>
    <n v="31"/>
    <s v="Splash Balls"/>
    <x v="4"/>
    <n v="19"/>
    <n v="486"/>
    <n v="24.9"/>
    <x v="2"/>
  </r>
  <r>
    <n v="23"/>
    <s v="Maven Toys Chihuahua 1"/>
    <x v="1"/>
    <n v="33"/>
    <s v="Teddy Bear"/>
    <x v="0"/>
    <n v="6"/>
    <n v="270"/>
    <n v="14.2"/>
    <x v="2"/>
  </r>
  <r>
    <n v="25"/>
    <s v="Maven Toys Ciudad Victoria 1"/>
    <x v="2"/>
    <n v="1"/>
    <s v="Action Figure"/>
    <x v="0"/>
    <n v="8"/>
    <n v="1074"/>
    <n v="4.7"/>
    <x v="2"/>
  </r>
  <r>
    <n v="25"/>
    <s v="Maven Toys Ciudad Victoria 1"/>
    <x v="2"/>
    <n v="2"/>
    <s v="Animal Figures"/>
    <x v="0"/>
    <n v="18"/>
    <n v="786"/>
    <n v="14.6"/>
    <x v="2"/>
  </r>
  <r>
    <n v="25"/>
    <s v="Maven Toys Ciudad Victoria 1"/>
    <x v="2"/>
    <n v="3"/>
    <s v="Barrel O' Slime"/>
    <x v="3"/>
    <n v="43"/>
    <n v="1207"/>
    <n v="22.7"/>
    <x v="2"/>
  </r>
  <r>
    <n v="25"/>
    <s v="Maven Toys Ciudad Victoria 1"/>
    <x v="2"/>
    <n v="6"/>
    <s v="Colorbuds"/>
    <x v="2"/>
    <n v="3"/>
    <n v="3439"/>
    <n v="0.6"/>
    <x v="2"/>
  </r>
  <r>
    <n v="25"/>
    <s v="Maven Toys Ciudad Victoria 1"/>
    <x v="2"/>
    <n v="7"/>
    <s v="Dart Gun"/>
    <x v="4"/>
    <n v="7"/>
    <n v="720"/>
    <n v="6.2"/>
    <x v="2"/>
  </r>
  <r>
    <n v="25"/>
    <s v="Maven Toys Ciudad Victoria 1"/>
    <x v="2"/>
    <n v="8"/>
    <s v="Deck Of Cards"/>
    <x v="1"/>
    <n v="66"/>
    <n v="1262"/>
    <n v="33.299999999999997"/>
    <x v="2"/>
  </r>
  <r>
    <n v="25"/>
    <s v="Maven Toys Ciudad Victoria 1"/>
    <x v="2"/>
    <n v="9"/>
    <s v="Dino Egg"/>
    <x v="0"/>
    <n v="9"/>
    <n v="924"/>
    <n v="6.2"/>
    <x v="2"/>
  </r>
  <r>
    <n v="25"/>
    <s v="Maven Toys Ciudad Victoria 1"/>
    <x v="2"/>
    <n v="10"/>
    <s v="Dinosaur Figures"/>
    <x v="0"/>
    <n v="8"/>
    <n v="831"/>
    <n v="6.1"/>
    <x v="2"/>
  </r>
  <r>
    <n v="25"/>
    <s v="Maven Toys Ciudad Victoria 1"/>
    <x v="2"/>
    <n v="11"/>
    <s v="Etch A Sketch"/>
    <x v="3"/>
    <n v="3"/>
    <n v="262"/>
    <n v="7.3"/>
    <x v="2"/>
  </r>
  <r>
    <n v="25"/>
    <s v="Maven Toys Ciudad Victoria 1"/>
    <x v="2"/>
    <n v="13"/>
    <s v="Gamer Headphones"/>
    <x v="2"/>
    <n v="23"/>
    <n v="458"/>
    <n v="32"/>
    <x v="2"/>
  </r>
  <r>
    <n v="25"/>
    <s v="Maven Toys Ciudad Victoria 1"/>
    <x v="2"/>
    <n v="14"/>
    <s v="Glass Marbles"/>
    <x v="1"/>
    <n v="20"/>
    <n v="395"/>
    <n v="32.299999999999997"/>
    <x v="2"/>
  </r>
  <r>
    <n v="25"/>
    <s v="Maven Toys Ciudad Victoria 1"/>
    <x v="2"/>
    <n v="15"/>
    <s v="Hot Wheels 5-Pack"/>
    <x v="0"/>
    <n v="13"/>
    <n v="561"/>
    <n v="14.8"/>
    <x v="2"/>
  </r>
  <r>
    <n v="25"/>
    <s v="Maven Toys Ciudad Victoria 1"/>
    <x v="2"/>
    <n v="17"/>
    <s v="Kids Makeup Kit"/>
    <x v="3"/>
    <n v="4"/>
    <n v="522"/>
    <n v="4.9000000000000004"/>
    <x v="2"/>
  </r>
  <r>
    <n v="25"/>
    <s v="Maven Toys Ciudad Victoria 1"/>
    <x v="2"/>
    <n v="18"/>
    <s v="Lego Bricks"/>
    <x v="0"/>
    <n v="34"/>
    <n v="1467"/>
    <n v="14.8"/>
    <x v="2"/>
  </r>
  <r>
    <n v="25"/>
    <s v="Maven Toys Ciudad Victoria 1"/>
    <x v="2"/>
    <n v="19"/>
    <s v="Magic Sand"/>
    <x v="3"/>
    <n v="28"/>
    <n v="1353"/>
    <n v="13.2"/>
    <x v="2"/>
  </r>
  <r>
    <n v="22"/>
    <s v="Maven Toys Guanajuato 2"/>
    <x v="1"/>
    <n v="29"/>
    <s v="Plush Pony"/>
    <x v="0"/>
    <n v="5"/>
    <n v="134"/>
    <n v="23.8"/>
    <x v="2"/>
  </r>
  <r>
    <n v="22"/>
    <s v="Maven Toys Guanajuato 2"/>
    <x v="1"/>
    <n v="30"/>
    <s v="Rubik's Cube"/>
    <x v="1"/>
    <n v="22"/>
    <n v="743"/>
    <n v="18.899999999999999"/>
    <x v="2"/>
  </r>
  <r>
    <n v="22"/>
    <s v="Maven Toys Guanajuato 2"/>
    <x v="1"/>
    <n v="31"/>
    <s v="Splash Balls"/>
    <x v="4"/>
    <n v="34"/>
    <n v="1036"/>
    <n v="20.9"/>
    <x v="2"/>
  </r>
  <r>
    <n v="22"/>
    <s v="Maven Toys Guanajuato 2"/>
    <x v="1"/>
    <n v="4"/>
    <s v="Chutes &amp; Ladders"/>
    <x v="1"/>
    <n v="6"/>
    <n v="279"/>
    <n v="13.7"/>
    <x v="2"/>
  </r>
  <r>
    <n v="22"/>
    <s v="Maven Toys Guanajuato 2"/>
    <x v="1"/>
    <n v="25"/>
    <s v="PlayDoh Can"/>
    <x v="3"/>
    <n v="6"/>
    <n v="2230"/>
    <n v="1.7"/>
    <x v="2"/>
  </r>
  <r>
    <n v="22"/>
    <s v="Maven Toys Guanajuato 2"/>
    <x v="1"/>
    <n v="16"/>
    <s v="Jenga"/>
    <x v="1"/>
    <n v="3"/>
    <n v="355"/>
    <n v="5.4"/>
    <x v="2"/>
  </r>
  <r>
    <n v="22"/>
    <s v="Maven Toys Guanajuato 2"/>
    <x v="1"/>
    <n v="17"/>
    <s v="Kids Makeup Kit"/>
    <x v="3"/>
    <n v="10"/>
    <n v="290"/>
    <n v="22"/>
    <x v="2"/>
  </r>
  <r>
    <n v="22"/>
    <s v="Maven Toys Guanajuato 2"/>
    <x v="1"/>
    <n v="18"/>
    <s v="Lego Bricks"/>
    <x v="0"/>
    <n v="13"/>
    <n v="1223"/>
    <n v="6.8"/>
    <x v="2"/>
  </r>
  <r>
    <n v="22"/>
    <s v="Maven Toys Guanajuato 2"/>
    <x v="1"/>
    <n v="19"/>
    <s v="Magic Sand"/>
    <x v="3"/>
    <n v="17"/>
    <n v="1161"/>
    <n v="9.3000000000000007"/>
    <x v="2"/>
  </r>
  <r>
    <n v="22"/>
    <s v="Maven Toys Guanajuato 2"/>
    <x v="1"/>
    <n v="21"/>
    <s v="Mini Ping Pong Set"/>
    <x v="4"/>
    <n v="30"/>
    <n v="1080"/>
    <n v="17.7"/>
    <x v="2"/>
  </r>
  <r>
    <n v="21"/>
    <s v="Maven Toys Santiago 1"/>
    <x v="2"/>
    <n v="29"/>
    <s v="Plush Pony"/>
    <x v="0"/>
    <n v="8"/>
    <n v="163"/>
    <n v="31.3"/>
    <x v="2"/>
  </r>
  <r>
    <n v="21"/>
    <s v="Maven Toys Santiago 1"/>
    <x v="2"/>
    <n v="30"/>
    <s v="Rubik's Cube"/>
    <x v="1"/>
    <n v="49"/>
    <n v="986"/>
    <n v="31.7"/>
    <x v="2"/>
  </r>
  <r>
    <n v="21"/>
    <s v="Maven Toys Santiago 1"/>
    <x v="2"/>
    <n v="31"/>
    <s v="Splash Balls"/>
    <x v="4"/>
    <n v="19"/>
    <n v="786"/>
    <n v="15.4"/>
    <x v="2"/>
  </r>
  <r>
    <n v="21"/>
    <s v="Maven Toys Santiago 1"/>
    <x v="2"/>
    <n v="32"/>
    <s v="Supersoaker Water Gun"/>
    <x v="4"/>
    <n v="3"/>
    <n v="77"/>
    <n v="24.8"/>
    <x v="2"/>
  </r>
  <r>
    <n v="20"/>
    <s v="Maven Toys Zacatecas 1"/>
    <x v="2"/>
    <n v="27"/>
    <s v="PlayDoh Toolkit"/>
    <x v="3"/>
    <n v="12"/>
    <n v="439"/>
    <n v="17.399999999999999"/>
    <x v="2"/>
  </r>
  <r>
    <n v="20"/>
    <s v="Maven Toys Zacatecas 1"/>
    <x v="2"/>
    <n v="28"/>
    <s v="Playfoam"/>
    <x v="3"/>
    <n v="3"/>
    <n v="68"/>
    <n v="28.1"/>
    <x v="2"/>
  </r>
  <r>
    <n v="21"/>
    <s v="Maven Toys Santiago 1"/>
    <x v="2"/>
    <n v="34"/>
    <s v="Toy Robot"/>
    <x v="2"/>
    <n v="16"/>
    <n v="309"/>
    <n v="33"/>
    <x v="2"/>
  </r>
  <r>
    <n v="22"/>
    <s v="Maven Toys Guanajuato 2"/>
    <x v="1"/>
    <n v="1"/>
    <s v="Action Figure"/>
    <x v="0"/>
    <n v="10"/>
    <n v="892"/>
    <n v="7.1"/>
    <x v="2"/>
  </r>
  <r>
    <n v="22"/>
    <s v="Maven Toys Guanajuato 2"/>
    <x v="1"/>
    <n v="2"/>
    <s v="Animal Figures"/>
    <x v="0"/>
    <n v="25"/>
    <n v="941"/>
    <n v="16.899999999999999"/>
    <x v="2"/>
  </r>
  <r>
    <n v="22"/>
    <s v="Maven Toys Guanajuato 2"/>
    <x v="1"/>
    <n v="6"/>
    <s v="Colorbuds"/>
    <x v="2"/>
    <n v="8"/>
    <n v="2439"/>
    <n v="2.1"/>
    <x v="2"/>
  </r>
  <r>
    <n v="22"/>
    <s v="Maven Toys Guanajuato 2"/>
    <x v="1"/>
    <n v="7"/>
    <s v="Dart Gun"/>
    <x v="4"/>
    <n v="30"/>
    <n v="550"/>
    <n v="34.700000000000003"/>
    <x v="2"/>
  </r>
  <r>
    <n v="22"/>
    <s v="Maven Toys Guanajuato 2"/>
    <x v="1"/>
    <n v="8"/>
    <s v="Deck Of Cards"/>
    <x v="1"/>
    <n v="71"/>
    <n v="1825"/>
    <n v="24.8"/>
    <x v="2"/>
  </r>
  <r>
    <n v="22"/>
    <s v="Maven Toys Guanajuato 2"/>
    <x v="1"/>
    <n v="9"/>
    <s v="Dino Egg"/>
    <x v="0"/>
    <n v="14"/>
    <n v="692"/>
    <n v="12.9"/>
    <x v="2"/>
  </r>
  <r>
    <n v="22"/>
    <s v="Maven Toys Guanajuato 2"/>
    <x v="1"/>
    <n v="11"/>
    <s v="Etch A Sketch"/>
    <x v="3"/>
    <n v="7"/>
    <n v="207"/>
    <n v="21.5"/>
    <x v="2"/>
  </r>
  <r>
    <n v="22"/>
    <s v="Maven Toys Guanajuato 2"/>
    <x v="1"/>
    <n v="12"/>
    <s v="Foam Disk Launcher"/>
    <x v="4"/>
    <n v="3"/>
    <n v="94"/>
    <n v="20.3"/>
    <x v="2"/>
  </r>
  <r>
    <n v="22"/>
    <s v="Maven Toys Guanajuato 2"/>
    <x v="1"/>
    <n v="13"/>
    <s v="Gamer Headphones"/>
    <x v="2"/>
    <n v="19"/>
    <n v="448"/>
    <n v="27"/>
    <x v="2"/>
  </r>
  <r>
    <n v="22"/>
    <s v="Maven Toys Guanajuato 2"/>
    <x v="1"/>
    <n v="14"/>
    <s v="Glass Marbles"/>
    <x v="1"/>
    <n v="5"/>
    <n v="254"/>
    <n v="12.5"/>
    <x v="2"/>
  </r>
  <r>
    <n v="22"/>
    <s v="Maven Toys Guanajuato 2"/>
    <x v="1"/>
    <n v="34"/>
    <s v="Toy Robot"/>
    <x v="2"/>
    <n v="6"/>
    <n v="198"/>
    <n v="19.3"/>
    <x v="2"/>
  </r>
  <r>
    <n v="22"/>
    <s v="Maven Toys Guanajuato 2"/>
    <x v="1"/>
    <n v="35"/>
    <s v="Uno Card Game"/>
    <x v="1"/>
    <n v="2"/>
    <n v="149"/>
    <n v="8.6"/>
    <x v="2"/>
  </r>
  <r>
    <n v="23"/>
    <s v="Maven Toys Chihuahua 1"/>
    <x v="1"/>
    <n v="1"/>
    <s v="Action Figure"/>
    <x v="0"/>
    <n v="4"/>
    <n v="582"/>
    <n v="4.4000000000000004"/>
    <x v="2"/>
  </r>
  <r>
    <n v="23"/>
    <s v="Maven Toys Chihuahua 1"/>
    <x v="1"/>
    <n v="2"/>
    <s v="Animal Figures"/>
    <x v="0"/>
    <n v="11"/>
    <n v="667"/>
    <n v="10.5"/>
    <x v="2"/>
  </r>
  <r>
    <n v="23"/>
    <s v="Maven Toys Chihuahua 1"/>
    <x v="1"/>
    <n v="3"/>
    <s v="Barrel O' Slime"/>
    <x v="3"/>
    <n v="5"/>
    <n v="1357"/>
    <n v="2.2999999999999998"/>
    <x v="2"/>
  </r>
  <r>
    <n v="23"/>
    <s v="Maven Toys Chihuahua 1"/>
    <x v="1"/>
    <n v="4"/>
    <s v="Chutes &amp; Ladders"/>
    <x v="1"/>
    <n v="3"/>
    <n v="72"/>
    <n v="26.5"/>
    <x v="2"/>
  </r>
  <r>
    <n v="23"/>
    <s v="Maven Toys Chihuahua 1"/>
    <x v="1"/>
    <n v="5"/>
    <s v="Classic Dominoes"/>
    <x v="1"/>
    <n v="4"/>
    <n v="137"/>
    <n v="18.600000000000001"/>
    <x v="2"/>
  </r>
  <r>
    <n v="23"/>
    <s v="Maven Toys Chihuahua 1"/>
    <x v="1"/>
    <n v="6"/>
    <s v="Colorbuds"/>
    <x v="2"/>
    <n v="17"/>
    <n v="1946"/>
    <n v="5.6"/>
    <x v="2"/>
  </r>
  <r>
    <n v="23"/>
    <s v="Maven Toys Chihuahua 1"/>
    <x v="1"/>
    <n v="7"/>
    <s v="Dart Gun"/>
    <x v="4"/>
    <n v="11"/>
    <n v="465"/>
    <n v="15.1"/>
    <x v="2"/>
  </r>
  <r>
    <n v="23"/>
    <s v="Maven Toys Chihuahua 1"/>
    <x v="1"/>
    <n v="8"/>
    <s v="Deck Of Cards"/>
    <x v="1"/>
    <n v="32"/>
    <n v="1913"/>
    <n v="10.7"/>
    <x v="2"/>
  </r>
  <r>
    <n v="23"/>
    <s v="Maven Toys Chihuahua 1"/>
    <x v="1"/>
    <n v="9"/>
    <s v="Dino Egg"/>
    <x v="0"/>
    <n v="9"/>
    <n v="715"/>
    <n v="8"/>
    <x v="2"/>
  </r>
  <r>
    <n v="23"/>
    <s v="Maven Toys Chihuahua 1"/>
    <x v="1"/>
    <n v="16"/>
    <s v="Jenga"/>
    <x v="1"/>
    <n v="7"/>
    <n v="209"/>
    <n v="21.3"/>
    <x v="2"/>
  </r>
  <r>
    <n v="23"/>
    <s v="Maven Toys Chihuahua 1"/>
    <x v="1"/>
    <n v="17"/>
    <s v="Kids Makeup Kit"/>
    <x v="3"/>
    <n v="9"/>
    <n v="387"/>
    <n v="14.8"/>
    <x v="2"/>
  </r>
  <r>
    <n v="23"/>
    <s v="Maven Toys Chihuahua 1"/>
    <x v="1"/>
    <n v="18"/>
    <s v="Lego Bricks"/>
    <x v="0"/>
    <n v="42"/>
    <n v="1108"/>
    <n v="24.1"/>
    <x v="2"/>
  </r>
  <r>
    <n v="23"/>
    <s v="Maven Toys Chihuahua 1"/>
    <x v="1"/>
    <n v="19"/>
    <s v="Magic Sand"/>
    <x v="3"/>
    <n v="27"/>
    <n v="882"/>
    <n v="19.5"/>
    <x v="2"/>
  </r>
  <r>
    <n v="23"/>
    <s v="Maven Toys Chihuahua 1"/>
    <x v="1"/>
    <n v="20"/>
    <s v="Mini Basketball Hoop"/>
    <x v="4"/>
    <n v="2"/>
    <n v="150"/>
    <n v="8.5"/>
    <x v="2"/>
  </r>
  <r>
    <n v="23"/>
    <s v="Maven Toys Chihuahua 1"/>
    <x v="1"/>
    <n v="21"/>
    <s v="Mini Ping Pong Set"/>
    <x v="4"/>
    <n v="30"/>
    <n v="2055"/>
    <n v="9.3000000000000007"/>
    <x v="2"/>
  </r>
  <r>
    <n v="23"/>
    <s v="Maven Toys Chihuahua 1"/>
    <x v="1"/>
    <n v="14"/>
    <s v="Glass Marbles"/>
    <x v="1"/>
    <n v="7"/>
    <n v="212"/>
    <n v="21"/>
    <x v="2"/>
  </r>
  <r>
    <n v="23"/>
    <s v="Maven Toys Chihuahua 1"/>
    <x v="1"/>
    <n v="25"/>
    <s v="PlayDoh Can"/>
    <x v="3"/>
    <n v="38"/>
    <n v="969"/>
    <n v="25"/>
    <x v="2"/>
  </r>
  <r>
    <n v="23"/>
    <s v="Maven Toys Chihuahua 1"/>
    <x v="1"/>
    <n v="27"/>
    <s v="PlayDoh Toolkit"/>
    <x v="3"/>
    <n v="7"/>
    <n v="291"/>
    <n v="15.3"/>
    <x v="2"/>
  </r>
  <r>
    <n v="23"/>
    <s v="Maven Toys Chihuahua 1"/>
    <x v="1"/>
    <n v="35"/>
    <s v="Uno Card Game"/>
    <x v="1"/>
    <n v="4"/>
    <n v="105"/>
    <n v="24.3"/>
    <x v="2"/>
  </r>
  <r>
    <n v="24"/>
    <s v="Maven Toys Aguascalientes 1"/>
    <x v="2"/>
    <n v="1"/>
    <s v="Action Figure"/>
    <x v="0"/>
    <n v="11"/>
    <n v="751"/>
    <n v="9.3000000000000007"/>
    <x v="2"/>
  </r>
  <r>
    <n v="24"/>
    <s v="Maven Toys Aguascalientes 1"/>
    <x v="2"/>
    <n v="2"/>
    <s v="Animal Figures"/>
    <x v="0"/>
    <n v="25"/>
    <n v="598"/>
    <n v="26.6"/>
    <x v="2"/>
  </r>
  <r>
    <n v="24"/>
    <s v="Maven Toys Aguascalientes 1"/>
    <x v="2"/>
    <n v="3"/>
    <s v="Barrel O' Slime"/>
    <x v="3"/>
    <n v="13"/>
    <n v="1584"/>
    <n v="5.2"/>
    <x v="2"/>
  </r>
  <r>
    <n v="24"/>
    <s v="Maven Toys Aguascalientes 1"/>
    <x v="2"/>
    <n v="4"/>
    <s v="Chutes &amp; Ladders"/>
    <x v="1"/>
    <n v="1"/>
    <n v="95"/>
    <n v="6.7"/>
    <x v="2"/>
  </r>
  <r>
    <n v="24"/>
    <s v="Maven Toys Aguascalientes 1"/>
    <x v="2"/>
    <n v="5"/>
    <s v="Classic Dominoes"/>
    <x v="1"/>
    <n v="4"/>
    <n v="176"/>
    <n v="14.5"/>
    <x v="2"/>
  </r>
  <r>
    <n v="24"/>
    <s v="Maven Toys Aguascalientes 1"/>
    <x v="2"/>
    <n v="6"/>
    <s v="Colorbuds"/>
    <x v="2"/>
    <n v="46"/>
    <n v="2096"/>
    <n v="14"/>
    <x v="2"/>
  </r>
  <r>
    <n v="24"/>
    <s v="Maven Toys Aguascalientes 1"/>
    <x v="2"/>
    <n v="7"/>
    <s v="Dart Gun"/>
    <x v="4"/>
    <n v="15"/>
    <n v="483"/>
    <n v="19.8"/>
    <x v="2"/>
  </r>
  <r>
    <n v="24"/>
    <s v="Maven Toys Aguascalientes 1"/>
    <x v="2"/>
    <n v="8"/>
    <s v="Deck Of Cards"/>
    <x v="1"/>
    <n v="53"/>
    <n v="1754"/>
    <n v="19.2"/>
    <x v="2"/>
  </r>
  <r>
    <n v="24"/>
    <s v="Maven Toys Aguascalientes 1"/>
    <x v="2"/>
    <n v="9"/>
    <s v="Dino Egg"/>
    <x v="0"/>
    <n v="19"/>
    <n v="626"/>
    <n v="19.3"/>
    <x v="2"/>
  </r>
  <r>
    <n v="24"/>
    <s v="Maven Toys Aguascalientes 1"/>
    <x v="2"/>
    <n v="10"/>
    <s v="Dinosaur Figures"/>
    <x v="0"/>
    <n v="19"/>
    <n v="793"/>
    <n v="15.3"/>
    <x v="2"/>
  </r>
  <r>
    <n v="41"/>
    <s v="Maven Toys Hermosillo 2"/>
    <x v="2"/>
    <n v="24"/>
    <s v="Nerf Gun"/>
    <x v="4"/>
    <n v="4"/>
    <n v="467"/>
    <n v="5.5"/>
    <x v="2"/>
  </r>
  <r>
    <n v="41"/>
    <s v="Maven Toys Hermosillo 2"/>
    <x v="2"/>
    <n v="25"/>
    <s v="PlayDoh Can"/>
    <x v="3"/>
    <n v="19"/>
    <n v="2456"/>
    <n v="4.9000000000000004"/>
    <x v="2"/>
  </r>
  <r>
    <n v="41"/>
    <s v="Maven Toys Hermosillo 2"/>
    <x v="2"/>
    <n v="26"/>
    <s v="PlayDoh Playset"/>
    <x v="3"/>
    <n v="2"/>
    <n v="244"/>
    <n v="5.2"/>
    <x v="2"/>
  </r>
  <r>
    <n v="41"/>
    <s v="Maven Toys Hermosillo 2"/>
    <x v="2"/>
    <n v="27"/>
    <s v="PlayDoh Toolkit"/>
    <x v="3"/>
    <n v="25"/>
    <n v="912"/>
    <n v="17.5"/>
    <x v="2"/>
  </r>
  <r>
    <n v="41"/>
    <s v="Maven Toys Hermosillo 2"/>
    <x v="2"/>
    <n v="13"/>
    <s v="Gamer Headphones"/>
    <x v="2"/>
    <n v="6"/>
    <n v="686"/>
    <n v="5.6"/>
    <x v="2"/>
  </r>
  <r>
    <n v="41"/>
    <s v="Maven Toys Hermosillo 2"/>
    <x v="2"/>
    <n v="14"/>
    <s v="Glass Marbles"/>
    <x v="1"/>
    <n v="6"/>
    <n v="449"/>
    <n v="8.5"/>
    <x v="2"/>
  </r>
  <r>
    <n v="41"/>
    <s v="Maven Toys Hermosillo 2"/>
    <x v="2"/>
    <n v="15"/>
    <s v="Hot Wheels 5-Pack"/>
    <x v="0"/>
    <n v="6"/>
    <n v="397"/>
    <n v="9.6"/>
    <x v="2"/>
  </r>
  <r>
    <n v="41"/>
    <s v="Maven Toys Hermosillo 2"/>
    <x v="2"/>
    <n v="16"/>
    <s v="Jenga"/>
    <x v="1"/>
    <n v="17"/>
    <n v="372"/>
    <n v="29.1"/>
    <x v="2"/>
  </r>
  <r>
    <n v="41"/>
    <s v="Maven Toys Hermosillo 2"/>
    <x v="2"/>
    <n v="17"/>
    <s v="Kids Makeup Kit"/>
    <x v="3"/>
    <n v="3"/>
    <n v="745"/>
    <n v="2.6"/>
    <x v="2"/>
  </r>
  <r>
    <n v="41"/>
    <s v="Maven Toys Hermosillo 2"/>
    <x v="2"/>
    <n v="18"/>
    <s v="Lego Bricks"/>
    <x v="0"/>
    <n v="9"/>
    <n v="1422"/>
    <n v="4"/>
    <x v="2"/>
  </r>
  <r>
    <n v="40"/>
    <s v="Maven Toys Toluca 2"/>
    <x v="1"/>
    <n v="29"/>
    <s v="Plush Pony"/>
    <x v="0"/>
    <n v="1"/>
    <n v="142"/>
    <n v="4.5"/>
    <x v="2"/>
  </r>
  <r>
    <n v="40"/>
    <s v="Maven Toys Toluca 2"/>
    <x v="1"/>
    <n v="31"/>
    <s v="Splash Balls"/>
    <x v="4"/>
    <n v="5"/>
    <n v="1657"/>
    <n v="1.9"/>
    <x v="2"/>
  </r>
  <r>
    <n v="40"/>
    <s v="Maven Toys Toluca 2"/>
    <x v="1"/>
    <n v="25"/>
    <s v="PlayDoh Can"/>
    <x v="3"/>
    <n v="13"/>
    <n v="1323"/>
    <n v="6.3"/>
    <x v="2"/>
  </r>
  <r>
    <n v="40"/>
    <s v="Maven Toys Toluca 2"/>
    <x v="1"/>
    <n v="26"/>
    <s v="PlayDoh Playset"/>
    <x v="3"/>
    <n v="4"/>
    <n v="101"/>
    <n v="25.2"/>
    <x v="2"/>
  </r>
  <r>
    <n v="40"/>
    <s v="Maven Toys Toluca 2"/>
    <x v="1"/>
    <n v="34"/>
    <s v="Toy Robot"/>
    <x v="2"/>
    <n v="5"/>
    <n v="222"/>
    <n v="14.3"/>
    <x v="2"/>
  </r>
  <r>
    <n v="41"/>
    <s v="Maven Toys Hermosillo 2"/>
    <x v="2"/>
    <n v="1"/>
    <s v="Action Figure"/>
    <x v="0"/>
    <n v="21"/>
    <n v="1456"/>
    <n v="9.1999999999999993"/>
    <x v="2"/>
  </r>
  <r>
    <n v="41"/>
    <s v="Maven Toys Hermosillo 2"/>
    <x v="2"/>
    <n v="2"/>
    <s v="Animal Figures"/>
    <x v="0"/>
    <n v="19"/>
    <n v="763"/>
    <n v="15.9"/>
    <x v="2"/>
  </r>
  <r>
    <n v="41"/>
    <s v="Maven Toys Hermosillo 2"/>
    <x v="2"/>
    <n v="6"/>
    <s v="Colorbuds"/>
    <x v="2"/>
    <n v="7"/>
    <n v="1844"/>
    <n v="2.4"/>
    <x v="2"/>
  </r>
  <r>
    <n v="41"/>
    <s v="Maven Toys Hermosillo 2"/>
    <x v="2"/>
    <n v="7"/>
    <s v="Dart Gun"/>
    <x v="4"/>
    <n v="14"/>
    <n v="957"/>
    <n v="9.3000000000000007"/>
    <x v="2"/>
  </r>
  <r>
    <n v="41"/>
    <s v="Maven Toys Hermosillo 2"/>
    <x v="2"/>
    <n v="8"/>
    <s v="Deck Of Cards"/>
    <x v="1"/>
    <n v="32"/>
    <n v="1834"/>
    <n v="11.1"/>
    <x v="2"/>
  </r>
  <r>
    <n v="41"/>
    <s v="Maven Toys Hermosillo 2"/>
    <x v="2"/>
    <n v="9"/>
    <s v="Dino Egg"/>
    <x v="0"/>
    <n v="18"/>
    <n v="603"/>
    <n v="19"/>
    <x v="2"/>
  </r>
  <r>
    <n v="39"/>
    <s v="Maven Toys Xalapa 2"/>
    <x v="2"/>
    <n v="17"/>
    <s v="Kids Makeup Kit"/>
    <x v="3"/>
    <n v="35"/>
    <n v="821"/>
    <n v="27.2"/>
    <x v="2"/>
  </r>
  <r>
    <n v="39"/>
    <s v="Maven Toys Xalapa 2"/>
    <x v="2"/>
    <n v="18"/>
    <s v="Lego Bricks"/>
    <x v="0"/>
    <n v="22"/>
    <n v="1638"/>
    <n v="8.6"/>
    <x v="2"/>
  </r>
  <r>
    <n v="39"/>
    <s v="Maven Toys Xalapa 2"/>
    <x v="2"/>
    <n v="19"/>
    <s v="Magic Sand"/>
    <x v="3"/>
    <n v="9"/>
    <n v="1897"/>
    <n v="3"/>
    <x v="2"/>
  </r>
  <r>
    <n v="39"/>
    <s v="Maven Toys Xalapa 2"/>
    <x v="2"/>
    <n v="21"/>
    <s v="Mini Ping Pong Set"/>
    <x v="4"/>
    <n v="5"/>
    <n v="347"/>
    <n v="9.1999999999999993"/>
    <x v="2"/>
  </r>
  <r>
    <n v="39"/>
    <s v="Maven Toys Xalapa 2"/>
    <x v="2"/>
    <n v="23"/>
    <s v="Mr. Potatohead"/>
    <x v="0"/>
    <n v="5"/>
    <n v="186"/>
    <n v="17.100000000000001"/>
    <x v="2"/>
  </r>
  <r>
    <n v="38"/>
    <s v="Maven Toys Chihuahua 2"/>
    <x v="2"/>
    <n v="11"/>
    <s v="Etch A Sketch"/>
    <x v="3"/>
    <n v="2"/>
    <n v="127"/>
    <n v="10"/>
    <x v="2"/>
  </r>
  <r>
    <n v="38"/>
    <s v="Maven Toys Chihuahua 2"/>
    <x v="2"/>
    <n v="35"/>
    <s v="Uno Card Game"/>
    <x v="1"/>
    <n v="2"/>
    <n v="107"/>
    <n v="11.9"/>
    <x v="2"/>
  </r>
  <r>
    <n v="39"/>
    <s v="Maven Toys Xalapa 2"/>
    <x v="2"/>
    <n v="9"/>
    <s v="Dino Egg"/>
    <x v="0"/>
    <n v="6"/>
    <n v="604"/>
    <n v="6.3"/>
    <x v="2"/>
  </r>
  <r>
    <n v="39"/>
    <s v="Maven Toys Xalapa 2"/>
    <x v="2"/>
    <n v="11"/>
    <s v="Etch A Sketch"/>
    <x v="3"/>
    <n v="2"/>
    <n v="335"/>
    <n v="3.8"/>
    <x v="2"/>
  </r>
  <r>
    <n v="39"/>
    <s v="Maven Toys Xalapa 2"/>
    <x v="2"/>
    <n v="12"/>
    <s v="Foam Disk Launcher"/>
    <x v="4"/>
    <n v="3"/>
    <n v="276"/>
    <n v="6.9"/>
    <x v="2"/>
  </r>
  <r>
    <n v="39"/>
    <s v="Maven Toys Xalapa 2"/>
    <x v="2"/>
    <n v="25"/>
    <s v="PlayDoh Can"/>
    <x v="3"/>
    <n v="40"/>
    <n v="3310"/>
    <n v="7.7"/>
    <x v="2"/>
  </r>
  <r>
    <n v="39"/>
    <s v="Maven Toys Xalapa 2"/>
    <x v="2"/>
    <n v="26"/>
    <s v="PlayDoh Playset"/>
    <x v="3"/>
    <n v="8"/>
    <n v="283"/>
    <n v="18"/>
    <x v="2"/>
  </r>
  <r>
    <n v="39"/>
    <s v="Maven Toys Xalapa 2"/>
    <x v="2"/>
    <n v="27"/>
    <s v="PlayDoh Toolkit"/>
    <x v="3"/>
    <n v="16"/>
    <n v="839"/>
    <n v="12.1"/>
    <x v="2"/>
  </r>
  <r>
    <n v="39"/>
    <s v="Maven Toys Xalapa 2"/>
    <x v="2"/>
    <n v="30"/>
    <s v="Rubik's Cube"/>
    <x v="1"/>
    <n v="19"/>
    <n v="1138"/>
    <n v="10.6"/>
    <x v="2"/>
  </r>
  <r>
    <n v="39"/>
    <s v="Maven Toys Xalapa 2"/>
    <x v="2"/>
    <n v="31"/>
    <s v="Splash Balls"/>
    <x v="4"/>
    <n v="15"/>
    <n v="1617"/>
    <n v="5.9"/>
    <x v="2"/>
  </r>
  <r>
    <n v="39"/>
    <s v="Maven Toys Xalapa 2"/>
    <x v="2"/>
    <n v="32"/>
    <s v="Supersoaker Water Gun"/>
    <x v="4"/>
    <n v="5"/>
    <n v="235"/>
    <n v="13.6"/>
    <x v="2"/>
  </r>
  <r>
    <n v="39"/>
    <s v="Maven Toys Xalapa 2"/>
    <x v="2"/>
    <n v="34"/>
    <s v="Toy Robot"/>
    <x v="2"/>
    <n v="4"/>
    <n v="564"/>
    <n v="4.5"/>
    <x v="2"/>
  </r>
  <r>
    <n v="40"/>
    <s v="Maven Toys Toluca 2"/>
    <x v="1"/>
    <n v="1"/>
    <s v="Action Figure"/>
    <x v="0"/>
    <n v="10"/>
    <n v="941"/>
    <n v="6.8"/>
    <x v="2"/>
  </r>
  <r>
    <n v="40"/>
    <s v="Maven Toys Toluca 2"/>
    <x v="1"/>
    <n v="2"/>
    <s v="Animal Figures"/>
    <x v="0"/>
    <n v="29"/>
    <n v="652"/>
    <n v="28.3"/>
    <x v="2"/>
  </r>
  <r>
    <n v="40"/>
    <s v="Maven Toys Toluca 2"/>
    <x v="1"/>
    <n v="3"/>
    <s v="Barrel O' Slime"/>
    <x v="3"/>
    <n v="9"/>
    <n v="768"/>
    <n v="7.5"/>
    <x v="2"/>
  </r>
  <r>
    <n v="40"/>
    <s v="Maven Toys Toluca 2"/>
    <x v="1"/>
    <n v="6"/>
    <s v="Colorbuds"/>
    <x v="2"/>
    <n v="29"/>
    <n v="951"/>
    <n v="19.399999999999999"/>
    <x v="2"/>
  </r>
  <r>
    <n v="40"/>
    <s v="Maven Toys Toluca 2"/>
    <x v="1"/>
    <n v="7"/>
    <s v="Dart Gun"/>
    <x v="4"/>
    <n v="4"/>
    <n v="380"/>
    <n v="6.7"/>
    <x v="2"/>
  </r>
  <r>
    <n v="40"/>
    <s v="Maven Toys Toluca 2"/>
    <x v="1"/>
    <n v="8"/>
    <s v="Deck Of Cards"/>
    <x v="1"/>
    <n v="61"/>
    <n v="1620"/>
    <n v="24"/>
    <x v="2"/>
  </r>
  <r>
    <n v="40"/>
    <s v="Maven Toys Toluca 2"/>
    <x v="1"/>
    <n v="9"/>
    <s v="Dino Egg"/>
    <x v="0"/>
    <n v="11"/>
    <n v="429"/>
    <n v="16.3"/>
    <x v="2"/>
  </r>
  <r>
    <n v="40"/>
    <s v="Maven Toys Toluca 2"/>
    <x v="1"/>
    <n v="11"/>
    <s v="Etch A Sketch"/>
    <x v="3"/>
    <n v="10"/>
    <n v="221"/>
    <n v="28.8"/>
    <x v="2"/>
  </r>
  <r>
    <n v="40"/>
    <s v="Maven Toys Toluca 2"/>
    <x v="1"/>
    <n v="12"/>
    <s v="Foam Disk Launcher"/>
    <x v="4"/>
    <n v="2"/>
    <n v="96"/>
    <n v="13.3"/>
    <x v="2"/>
  </r>
  <r>
    <n v="40"/>
    <s v="Maven Toys Toluca 2"/>
    <x v="1"/>
    <n v="13"/>
    <s v="Gamer Headphones"/>
    <x v="2"/>
    <n v="2"/>
    <n v="171"/>
    <n v="7.5"/>
    <x v="2"/>
  </r>
  <r>
    <n v="40"/>
    <s v="Maven Toys Toluca 2"/>
    <x v="1"/>
    <n v="14"/>
    <s v="Glass Marbles"/>
    <x v="1"/>
    <n v="13"/>
    <n v="518"/>
    <n v="16"/>
    <x v="2"/>
  </r>
  <r>
    <n v="40"/>
    <s v="Maven Toys Toluca 2"/>
    <x v="1"/>
    <n v="15"/>
    <s v="Hot Wheels 5-Pack"/>
    <x v="0"/>
    <n v="1"/>
    <n v="250"/>
    <n v="2.5"/>
    <x v="2"/>
  </r>
  <r>
    <n v="40"/>
    <s v="Maven Toys Toluca 2"/>
    <x v="1"/>
    <n v="17"/>
    <s v="Kids Makeup Kit"/>
    <x v="3"/>
    <n v="19"/>
    <n v="758"/>
    <n v="16"/>
    <x v="2"/>
  </r>
  <r>
    <n v="40"/>
    <s v="Maven Toys Toluca 2"/>
    <x v="1"/>
    <n v="18"/>
    <s v="Lego Bricks"/>
    <x v="0"/>
    <n v="26"/>
    <n v="1073"/>
    <n v="15.4"/>
    <x v="2"/>
  </r>
  <r>
    <n v="40"/>
    <s v="Maven Toys Toluca 2"/>
    <x v="1"/>
    <n v="19"/>
    <s v="Magic Sand"/>
    <x v="3"/>
    <n v="23"/>
    <n v="1163"/>
    <n v="12.6"/>
    <x v="2"/>
  </r>
  <r>
    <n v="39"/>
    <s v="Maven Toys Xalapa 2"/>
    <x v="2"/>
    <n v="2"/>
    <s v="Animal Figures"/>
    <x v="0"/>
    <n v="9"/>
    <n v="648"/>
    <n v="8.8000000000000007"/>
    <x v="2"/>
  </r>
  <r>
    <n v="39"/>
    <s v="Maven Toys Xalapa 2"/>
    <x v="2"/>
    <n v="3"/>
    <s v="Barrel O' Slime"/>
    <x v="3"/>
    <n v="13"/>
    <n v="1736"/>
    <n v="4.8"/>
    <x v="2"/>
  </r>
  <r>
    <n v="39"/>
    <s v="Maven Toys Xalapa 2"/>
    <x v="2"/>
    <n v="6"/>
    <s v="Colorbuds"/>
    <x v="2"/>
    <n v="11"/>
    <n v="1902"/>
    <n v="3.7"/>
    <x v="2"/>
  </r>
  <r>
    <n v="39"/>
    <s v="Maven Toys Xalapa 2"/>
    <x v="2"/>
    <n v="7"/>
    <s v="Dart Gun"/>
    <x v="4"/>
    <n v="21"/>
    <n v="817"/>
    <n v="16.399999999999999"/>
    <x v="2"/>
  </r>
  <r>
    <n v="38"/>
    <s v="Maven Toys Chihuahua 2"/>
    <x v="2"/>
    <n v="30"/>
    <s v="Rubik's Cube"/>
    <x v="1"/>
    <n v="7"/>
    <n v="920"/>
    <n v="4.8"/>
    <x v="2"/>
  </r>
  <r>
    <n v="38"/>
    <s v="Maven Toys Chihuahua 2"/>
    <x v="2"/>
    <n v="31"/>
    <s v="Splash Balls"/>
    <x v="4"/>
    <n v="17"/>
    <n v="575"/>
    <n v="18.8"/>
    <x v="2"/>
  </r>
  <r>
    <n v="38"/>
    <s v="Maven Toys Chihuahua 2"/>
    <x v="2"/>
    <n v="21"/>
    <s v="Mini Ping Pong Set"/>
    <x v="4"/>
    <n v="63"/>
    <n v="4229"/>
    <n v="9.5"/>
    <x v="2"/>
  </r>
  <r>
    <n v="38"/>
    <s v="Maven Toys Chihuahua 2"/>
    <x v="2"/>
    <n v="22"/>
    <s v="Monopoly"/>
    <x v="1"/>
    <n v="8"/>
    <n v="159"/>
    <n v="32.1"/>
    <x v="2"/>
  </r>
  <r>
    <n v="38"/>
    <s v="Maven Toys Chihuahua 2"/>
    <x v="2"/>
    <n v="24"/>
    <s v="Nerf Gun"/>
    <x v="4"/>
    <n v="11"/>
    <n v="302"/>
    <n v="23.2"/>
    <x v="2"/>
  </r>
  <r>
    <n v="38"/>
    <s v="Maven Toys Chihuahua 2"/>
    <x v="2"/>
    <n v="25"/>
    <s v="PlayDoh Can"/>
    <x v="3"/>
    <n v="57"/>
    <n v="1370"/>
    <n v="26.5"/>
    <x v="2"/>
  </r>
  <r>
    <n v="38"/>
    <s v="Maven Toys Chihuahua 2"/>
    <x v="2"/>
    <n v="27"/>
    <s v="PlayDoh Toolkit"/>
    <x v="3"/>
    <n v="24"/>
    <n v="509"/>
    <n v="30"/>
    <x v="2"/>
  </r>
  <r>
    <n v="37"/>
    <s v="Maven Toys Ciudad de Mexico 3"/>
    <x v="0"/>
    <n v="34"/>
    <s v="Toy Robot"/>
    <x v="2"/>
    <n v="13"/>
    <n v="338"/>
    <n v="24.5"/>
    <x v="2"/>
  </r>
  <r>
    <n v="38"/>
    <s v="Maven Toys Chihuahua 2"/>
    <x v="2"/>
    <n v="1"/>
    <s v="Action Figure"/>
    <x v="0"/>
    <n v="21"/>
    <n v="1438"/>
    <n v="9.3000000000000007"/>
    <x v="2"/>
  </r>
  <r>
    <n v="38"/>
    <s v="Maven Toys Chihuahua 2"/>
    <x v="2"/>
    <n v="2"/>
    <s v="Animal Figures"/>
    <x v="0"/>
    <n v="34"/>
    <n v="645"/>
    <n v="33.6"/>
    <x v="2"/>
  </r>
  <r>
    <n v="38"/>
    <s v="Maven Toys Chihuahua 2"/>
    <x v="2"/>
    <n v="3"/>
    <s v="Barrel O' Slime"/>
    <x v="3"/>
    <n v="54"/>
    <n v="1951"/>
    <n v="17.600000000000001"/>
    <x v="2"/>
  </r>
  <r>
    <n v="38"/>
    <s v="Maven Toys Chihuahua 2"/>
    <x v="2"/>
    <n v="6"/>
    <s v="Colorbuds"/>
    <x v="2"/>
    <n v="54"/>
    <n v="1018"/>
    <n v="33.799999999999997"/>
    <x v="2"/>
  </r>
  <r>
    <n v="38"/>
    <s v="Maven Toys Chihuahua 2"/>
    <x v="2"/>
    <n v="8"/>
    <s v="Deck Of Cards"/>
    <x v="1"/>
    <n v="94"/>
    <n v="1810"/>
    <n v="33.1"/>
    <x v="2"/>
  </r>
  <r>
    <n v="38"/>
    <s v="Maven Toys Chihuahua 2"/>
    <x v="2"/>
    <n v="9"/>
    <s v="Dino Egg"/>
    <x v="0"/>
    <n v="6"/>
    <n v="1092"/>
    <n v="3.5"/>
    <x v="2"/>
  </r>
  <r>
    <n v="38"/>
    <s v="Maven Toys Chihuahua 2"/>
    <x v="2"/>
    <n v="14"/>
    <s v="Glass Marbles"/>
    <x v="1"/>
    <n v="7"/>
    <n v="482"/>
    <n v="9.3000000000000007"/>
    <x v="2"/>
  </r>
  <r>
    <n v="38"/>
    <s v="Maven Toys Chihuahua 2"/>
    <x v="2"/>
    <n v="15"/>
    <s v="Hot Wheels 5-Pack"/>
    <x v="0"/>
    <n v="5"/>
    <n v="222"/>
    <n v="14.3"/>
    <x v="2"/>
  </r>
  <r>
    <n v="38"/>
    <s v="Maven Toys Chihuahua 2"/>
    <x v="2"/>
    <n v="16"/>
    <s v="Jenga"/>
    <x v="1"/>
    <n v="6"/>
    <n v="222"/>
    <n v="17.2"/>
    <x v="2"/>
  </r>
  <r>
    <n v="38"/>
    <s v="Maven Toys Chihuahua 2"/>
    <x v="2"/>
    <n v="17"/>
    <s v="Kids Makeup Kit"/>
    <x v="3"/>
    <n v="24"/>
    <n v="605"/>
    <n v="25.3"/>
    <x v="2"/>
  </r>
  <r>
    <n v="38"/>
    <s v="Maven Toys Chihuahua 2"/>
    <x v="2"/>
    <n v="18"/>
    <s v="Lego Bricks"/>
    <x v="0"/>
    <n v="10"/>
    <n v="442"/>
    <n v="14.4"/>
    <x v="2"/>
  </r>
  <r>
    <n v="38"/>
    <s v="Maven Toys Chihuahua 2"/>
    <x v="2"/>
    <n v="19"/>
    <s v="Magic Sand"/>
    <x v="3"/>
    <n v="7"/>
    <n v="1242"/>
    <n v="3.6"/>
    <x v="2"/>
  </r>
  <r>
    <n v="37"/>
    <s v="Maven Toys Ciudad de Mexico 3"/>
    <x v="0"/>
    <n v="24"/>
    <s v="Nerf Gun"/>
    <x v="4"/>
    <n v="27"/>
    <n v="866"/>
    <n v="19.899999999999999"/>
    <x v="2"/>
  </r>
  <r>
    <n v="37"/>
    <s v="Maven Toys Ciudad de Mexico 3"/>
    <x v="0"/>
    <n v="25"/>
    <s v="PlayDoh Can"/>
    <x v="3"/>
    <n v="34"/>
    <n v="2133"/>
    <n v="10.199999999999999"/>
    <x v="2"/>
  </r>
  <r>
    <n v="37"/>
    <s v="Maven Toys Ciudad de Mexico 3"/>
    <x v="0"/>
    <n v="26"/>
    <s v="PlayDoh Playset"/>
    <x v="3"/>
    <n v="11"/>
    <n v="200"/>
    <n v="35"/>
    <x v="2"/>
  </r>
  <r>
    <n v="37"/>
    <s v="Maven Toys Ciudad de Mexico 3"/>
    <x v="0"/>
    <n v="27"/>
    <s v="PlayDoh Toolkit"/>
    <x v="3"/>
    <n v="18"/>
    <n v="418"/>
    <n v="27.4"/>
    <x v="2"/>
  </r>
  <r>
    <n v="37"/>
    <s v="Maven Toys Ciudad de Mexico 3"/>
    <x v="0"/>
    <n v="28"/>
    <s v="Playfoam"/>
    <x v="3"/>
    <n v="4"/>
    <n v="76"/>
    <n v="33.5"/>
    <x v="2"/>
  </r>
  <r>
    <n v="37"/>
    <s v="Maven Toys Ciudad de Mexico 3"/>
    <x v="0"/>
    <n v="29"/>
    <s v="Plush Pony"/>
    <x v="0"/>
    <n v="5"/>
    <n v="205"/>
    <n v="15.5"/>
    <x v="2"/>
  </r>
  <r>
    <n v="37"/>
    <s v="Maven Toys Ciudad de Mexico 3"/>
    <x v="0"/>
    <n v="30"/>
    <s v="Rubik's Cube"/>
    <x v="1"/>
    <n v="35"/>
    <n v="803"/>
    <n v="27.8"/>
    <x v="2"/>
  </r>
  <r>
    <n v="37"/>
    <s v="Maven Toys Ciudad de Mexico 3"/>
    <x v="0"/>
    <n v="31"/>
    <s v="Splash Balls"/>
    <x v="4"/>
    <n v="14"/>
    <n v="901"/>
    <n v="9.9"/>
    <x v="2"/>
  </r>
  <r>
    <n v="37"/>
    <s v="Maven Toys Ciudad de Mexico 3"/>
    <x v="0"/>
    <n v="14"/>
    <s v="Glass Marbles"/>
    <x v="1"/>
    <n v="5"/>
    <n v="625"/>
    <n v="5.0999999999999996"/>
    <x v="2"/>
  </r>
  <r>
    <n v="37"/>
    <s v="Maven Toys Ciudad de Mexico 3"/>
    <x v="0"/>
    <n v="15"/>
    <s v="Hot Wheels 5-Pack"/>
    <x v="0"/>
    <n v="4"/>
    <n v="447"/>
    <n v="5.7"/>
    <x v="2"/>
  </r>
  <r>
    <n v="37"/>
    <s v="Maven Toys Ciudad de Mexico 3"/>
    <x v="0"/>
    <n v="16"/>
    <s v="Jenga"/>
    <x v="1"/>
    <n v="6"/>
    <n v="305"/>
    <n v="12.5"/>
    <x v="2"/>
  </r>
  <r>
    <n v="37"/>
    <s v="Maven Toys Ciudad de Mexico 3"/>
    <x v="0"/>
    <n v="17"/>
    <s v="Kids Makeup Kit"/>
    <x v="3"/>
    <n v="7"/>
    <n v="1087"/>
    <n v="4.0999999999999996"/>
    <x v="2"/>
  </r>
  <r>
    <n v="37"/>
    <s v="Maven Toys Ciudad de Mexico 3"/>
    <x v="0"/>
    <n v="18"/>
    <s v="Lego Bricks"/>
    <x v="0"/>
    <n v="6"/>
    <n v="1247"/>
    <n v="3.1"/>
    <x v="2"/>
  </r>
  <r>
    <n v="37"/>
    <s v="Maven Toys Ciudad de Mexico 3"/>
    <x v="0"/>
    <n v="11"/>
    <s v="Etch A Sketch"/>
    <x v="3"/>
    <n v="7"/>
    <n v="236"/>
    <n v="18.899999999999999"/>
    <x v="2"/>
  </r>
  <r>
    <n v="37"/>
    <s v="Maven Toys Ciudad de Mexico 3"/>
    <x v="0"/>
    <n v="12"/>
    <s v="Foam Disk Launcher"/>
    <x v="4"/>
    <n v="11"/>
    <n v="206"/>
    <n v="34"/>
    <x v="2"/>
  </r>
  <r>
    <n v="37"/>
    <s v="Maven Toys Ciudad de Mexico 3"/>
    <x v="0"/>
    <n v="21"/>
    <s v="Mini Ping Pong Set"/>
    <x v="4"/>
    <n v="53"/>
    <n v="2778"/>
    <n v="12.2"/>
    <x v="2"/>
  </r>
  <r>
    <n v="37"/>
    <s v="Maven Toys Ciudad de Mexico 3"/>
    <x v="0"/>
    <n v="1"/>
    <s v="Action Figure"/>
    <x v="0"/>
    <n v="23"/>
    <n v="1418"/>
    <n v="10.3"/>
    <x v="2"/>
  </r>
  <r>
    <n v="37"/>
    <s v="Maven Toys Ciudad de Mexico 3"/>
    <x v="0"/>
    <n v="2"/>
    <s v="Animal Figures"/>
    <x v="0"/>
    <n v="3"/>
    <n v="1160"/>
    <n v="1.6"/>
    <x v="2"/>
  </r>
  <r>
    <n v="37"/>
    <s v="Maven Toys Ciudad de Mexico 3"/>
    <x v="0"/>
    <n v="3"/>
    <s v="Barrel O' Slime"/>
    <x v="3"/>
    <n v="4"/>
    <n v="3303"/>
    <n v="0.8"/>
    <x v="2"/>
  </r>
  <r>
    <n v="37"/>
    <s v="Maven Toys Ciudad de Mexico 3"/>
    <x v="0"/>
    <n v="4"/>
    <s v="Chutes &amp; Ladders"/>
    <x v="1"/>
    <n v="4"/>
    <n v="127"/>
    <n v="20.100000000000001"/>
    <x v="2"/>
  </r>
  <r>
    <n v="37"/>
    <s v="Maven Toys Ciudad de Mexico 3"/>
    <x v="0"/>
    <n v="5"/>
    <s v="Classic Dominoes"/>
    <x v="1"/>
    <n v="2"/>
    <n v="169"/>
    <n v="7.5"/>
    <x v="2"/>
  </r>
  <r>
    <n v="37"/>
    <s v="Maven Toys Ciudad de Mexico 3"/>
    <x v="0"/>
    <n v="6"/>
    <s v="Colorbuds"/>
    <x v="2"/>
    <n v="17"/>
    <n v="1191"/>
    <n v="9.1"/>
    <x v="2"/>
  </r>
  <r>
    <n v="37"/>
    <s v="Maven Toys Ciudad de Mexico 3"/>
    <x v="0"/>
    <n v="7"/>
    <s v="Dart Gun"/>
    <x v="4"/>
    <n v="16"/>
    <n v="656"/>
    <n v="15.5"/>
    <x v="2"/>
  </r>
  <r>
    <n v="36"/>
    <s v="Maven Toys Morelia 1"/>
    <x v="2"/>
    <n v="30"/>
    <s v="Rubik's Cube"/>
    <x v="1"/>
    <n v="15"/>
    <n v="565"/>
    <n v="16.899999999999999"/>
    <x v="2"/>
  </r>
  <r>
    <n v="36"/>
    <s v="Maven Toys Morelia 1"/>
    <x v="2"/>
    <n v="31"/>
    <s v="Splash Balls"/>
    <x v="4"/>
    <n v="6"/>
    <n v="1455"/>
    <n v="2.6"/>
    <x v="2"/>
  </r>
  <r>
    <n v="36"/>
    <s v="Maven Toys Morelia 1"/>
    <x v="2"/>
    <n v="34"/>
    <s v="Toy Robot"/>
    <x v="2"/>
    <n v="2"/>
    <n v="50"/>
    <n v="25.5"/>
    <x v="2"/>
  </r>
  <r>
    <n v="37"/>
    <s v="Maven Toys Ciudad de Mexico 3"/>
    <x v="0"/>
    <n v="9"/>
    <s v="Dino Egg"/>
    <x v="0"/>
    <n v="10"/>
    <n v="1276"/>
    <n v="5"/>
    <x v="2"/>
  </r>
  <r>
    <n v="36"/>
    <s v="Maven Toys Morelia 1"/>
    <x v="2"/>
    <n v="5"/>
    <s v="Classic Dominoes"/>
    <x v="1"/>
    <n v="3"/>
    <n v="150"/>
    <n v="12.7"/>
    <x v="2"/>
  </r>
  <r>
    <n v="36"/>
    <s v="Maven Toys Morelia 1"/>
    <x v="2"/>
    <n v="6"/>
    <s v="Colorbuds"/>
    <x v="2"/>
    <n v="27"/>
    <n v="2716"/>
    <n v="6.3"/>
    <x v="2"/>
  </r>
  <r>
    <n v="36"/>
    <s v="Maven Toys Morelia 1"/>
    <x v="2"/>
    <n v="7"/>
    <s v="Dart Gun"/>
    <x v="4"/>
    <n v="15"/>
    <n v="337"/>
    <n v="28.4"/>
    <x v="2"/>
  </r>
  <r>
    <n v="36"/>
    <s v="Maven Toys Morelia 1"/>
    <x v="2"/>
    <n v="8"/>
    <s v="Deck Of Cards"/>
    <x v="1"/>
    <n v="58"/>
    <n v="2234"/>
    <n v="16.5"/>
    <x v="2"/>
  </r>
  <r>
    <n v="35"/>
    <s v="Maven Toys Chilpancingo 1"/>
    <x v="2"/>
    <n v="34"/>
    <s v="Toy Robot"/>
    <x v="2"/>
    <n v="9"/>
    <n v="259"/>
    <n v="22.1"/>
    <x v="2"/>
  </r>
  <r>
    <n v="36"/>
    <s v="Maven Toys Morelia 1"/>
    <x v="2"/>
    <n v="1"/>
    <s v="Action Figure"/>
    <x v="0"/>
    <n v="2"/>
    <n v="569"/>
    <n v="2.2000000000000002"/>
    <x v="2"/>
  </r>
  <r>
    <n v="36"/>
    <s v="Maven Toys Morelia 1"/>
    <x v="2"/>
    <n v="2"/>
    <s v="Animal Figures"/>
    <x v="0"/>
    <n v="26"/>
    <n v="816"/>
    <n v="20.3"/>
    <x v="2"/>
  </r>
  <r>
    <n v="35"/>
    <s v="Maven Toys Chilpancingo 1"/>
    <x v="2"/>
    <n v="27"/>
    <s v="PlayDoh Toolkit"/>
    <x v="3"/>
    <n v="16"/>
    <n v="321"/>
    <n v="31.8"/>
    <x v="2"/>
  </r>
  <r>
    <n v="35"/>
    <s v="Maven Toys Chilpancingo 1"/>
    <x v="2"/>
    <n v="30"/>
    <s v="Rubik's Cube"/>
    <x v="1"/>
    <n v="10"/>
    <n v="674"/>
    <n v="9.5"/>
    <x v="2"/>
  </r>
  <r>
    <n v="36"/>
    <s v="Maven Toys Morelia 1"/>
    <x v="2"/>
    <n v="10"/>
    <s v="Dinosaur Figures"/>
    <x v="0"/>
    <n v="33"/>
    <n v="657"/>
    <n v="32"/>
    <x v="2"/>
  </r>
  <r>
    <n v="36"/>
    <s v="Maven Toys Morelia 1"/>
    <x v="2"/>
    <n v="11"/>
    <s v="Etch A Sketch"/>
    <x v="3"/>
    <n v="1"/>
    <n v="119"/>
    <n v="5.4"/>
    <x v="2"/>
  </r>
  <r>
    <n v="36"/>
    <s v="Maven Toys Morelia 1"/>
    <x v="2"/>
    <n v="12"/>
    <s v="Foam Disk Launcher"/>
    <x v="4"/>
    <n v="1"/>
    <n v="113"/>
    <n v="5.6"/>
    <x v="2"/>
  </r>
  <r>
    <n v="36"/>
    <s v="Maven Toys Morelia 1"/>
    <x v="2"/>
    <n v="13"/>
    <s v="Gamer Headphones"/>
    <x v="2"/>
    <n v="18"/>
    <n v="460"/>
    <n v="24.9"/>
    <x v="2"/>
  </r>
  <r>
    <n v="36"/>
    <s v="Maven Toys Morelia 1"/>
    <x v="2"/>
    <n v="14"/>
    <s v="Glass Marbles"/>
    <x v="1"/>
    <n v="110"/>
    <n v="5120"/>
    <n v="13.7"/>
    <x v="2"/>
  </r>
  <r>
    <n v="36"/>
    <s v="Maven Toys Morelia 1"/>
    <x v="2"/>
    <n v="15"/>
    <s v="Hot Wheels 5-Pack"/>
    <x v="0"/>
    <n v="2"/>
    <n v="540"/>
    <n v="2.4"/>
    <x v="2"/>
  </r>
  <r>
    <n v="36"/>
    <s v="Maven Toys Morelia 1"/>
    <x v="2"/>
    <n v="16"/>
    <s v="Jenga"/>
    <x v="1"/>
    <n v="7"/>
    <n v="196"/>
    <n v="22.8"/>
    <x v="2"/>
  </r>
  <r>
    <n v="36"/>
    <s v="Maven Toys Morelia 1"/>
    <x v="2"/>
    <n v="17"/>
    <s v="Kids Makeup Kit"/>
    <x v="3"/>
    <n v="12"/>
    <n v="451"/>
    <n v="16.899999999999999"/>
    <x v="2"/>
  </r>
  <r>
    <n v="36"/>
    <s v="Maven Toys Morelia 1"/>
    <x v="2"/>
    <n v="18"/>
    <s v="Lego Bricks"/>
    <x v="0"/>
    <n v="4"/>
    <n v="760"/>
    <n v="3.4"/>
    <x v="2"/>
  </r>
  <r>
    <n v="36"/>
    <s v="Maven Toys Morelia 1"/>
    <x v="2"/>
    <n v="20"/>
    <s v="Mini Basketball Hoop"/>
    <x v="4"/>
    <n v="2"/>
    <n v="46"/>
    <n v="27.7"/>
    <x v="2"/>
  </r>
  <r>
    <n v="36"/>
    <s v="Maven Toys Morelia 1"/>
    <x v="2"/>
    <n v="24"/>
    <s v="Nerf Gun"/>
    <x v="4"/>
    <n v="9"/>
    <n v="438"/>
    <n v="13.1"/>
    <x v="2"/>
  </r>
  <r>
    <n v="36"/>
    <s v="Maven Toys Morelia 1"/>
    <x v="2"/>
    <n v="26"/>
    <s v="PlayDoh Playset"/>
    <x v="3"/>
    <n v="7"/>
    <n v="164"/>
    <n v="27.2"/>
    <x v="2"/>
  </r>
  <r>
    <n v="35"/>
    <s v="Maven Toys Chilpancingo 1"/>
    <x v="2"/>
    <n v="17"/>
    <s v="Kids Makeup Kit"/>
    <x v="3"/>
    <n v="10"/>
    <n v="235"/>
    <n v="27.1"/>
    <x v="2"/>
  </r>
  <r>
    <n v="35"/>
    <s v="Maven Toys Chilpancingo 1"/>
    <x v="2"/>
    <n v="18"/>
    <s v="Lego Bricks"/>
    <x v="0"/>
    <n v="11"/>
    <n v="1128"/>
    <n v="6.2"/>
    <x v="2"/>
  </r>
  <r>
    <n v="35"/>
    <s v="Maven Toys Chilpancingo 1"/>
    <x v="2"/>
    <n v="19"/>
    <s v="Magic Sand"/>
    <x v="3"/>
    <n v="44"/>
    <n v="1348"/>
    <n v="20.8"/>
    <x v="2"/>
  </r>
  <r>
    <n v="35"/>
    <s v="Maven Toys Chilpancingo 1"/>
    <x v="2"/>
    <n v="21"/>
    <s v="Mini Ping Pong Set"/>
    <x v="4"/>
    <n v="6"/>
    <n v="221"/>
    <n v="17.3"/>
    <x v="2"/>
  </r>
  <r>
    <n v="35"/>
    <s v="Maven Toys Chilpancingo 1"/>
    <x v="2"/>
    <n v="23"/>
    <s v="Mr. Potatohead"/>
    <x v="0"/>
    <n v="5"/>
    <n v="138"/>
    <n v="23.1"/>
    <x v="2"/>
  </r>
  <r>
    <n v="35"/>
    <s v="Maven Toys Chilpancingo 1"/>
    <x v="2"/>
    <n v="13"/>
    <s v="Gamer Headphones"/>
    <x v="2"/>
    <n v="3"/>
    <n v="222"/>
    <n v="8.6"/>
    <x v="2"/>
  </r>
  <r>
    <n v="35"/>
    <s v="Maven Toys Chilpancingo 1"/>
    <x v="2"/>
    <n v="25"/>
    <s v="PlayDoh Can"/>
    <x v="3"/>
    <n v="14"/>
    <n v="2034"/>
    <n v="4.4000000000000004"/>
    <x v="2"/>
  </r>
  <r>
    <n v="34"/>
    <s v="Maven Toys Villahermosa 1"/>
    <x v="2"/>
    <n v="29"/>
    <s v="Plush Pony"/>
    <x v="0"/>
    <n v="3"/>
    <n v="134"/>
    <n v="14.3"/>
    <x v="2"/>
  </r>
  <r>
    <n v="35"/>
    <s v="Maven Toys Chilpancingo 1"/>
    <x v="2"/>
    <n v="1"/>
    <s v="Action Figure"/>
    <x v="0"/>
    <n v="8"/>
    <n v="1167"/>
    <n v="4.4000000000000004"/>
    <x v="2"/>
  </r>
  <r>
    <n v="35"/>
    <s v="Maven Toys Chilpancingo 1"/>
    <x v="2"/>
    <n v="3"/>
    <s v="Barrel O' Slime"/>
    <x v="3"/>
    <n v="12"/>
    <n v="1435"/>
    <n v="5.3"/>
    <x v="2"/>
  </r>
  <r>
    <n v="35"/>
    <s v="Maven Toys Chilpancingo 1"/>
    <x v="2"/>
    <n v="6"/>
    <s v="Colorbuds"/>
    <x v="2"/>
    <n v="31"/>
    <n v="2077"/>
    <n v="9.5"/>
    <x v="2"/>
  </r>
  <r>
    <n v="35"/>
    <s v="Maven Toys Chilpancingo 1"/>
    <x v="2"/>
    <n v="7"/>
    <s v="Dart Gun"/>
    <x v="4"/>
    <n v="10"/>
    <n v="613"/>
    <n v="10.4"/>
    <x v="2"/>
  </r>
  <r>
    <n v="35"/>
    <s v="Maven Toys Chilpancingo 1"/>
    <x v="2"/>
    <n v="8"/>
    <s v="Deck Of Cards"/>
    <x v="1"/>
    <n v="77"/>
    <n v="1905"/>
    <n v="25.7"/>
    <x v="2"/>
  </r>
  <r>
    <n v="35"/>
    <s v="Maven Toys Chilpancingo 1"/>
    <x v="2"/>
    <n v="9"/>
    <s v="Dino Egg"/>
    <x v="0"/>
    <n v="4"/>
    <n v="751"/>
    <n v="3.4"/>
    <x v="2"/>
  </r>
  <r>
    <n v="34"/>
    <s v="Maven Toys Villahermosa 1"/>
    <x v="2"/>
    <n v="12"/>
    <s v="Foam Disk Launcher"/>
    <x v="4"/>
    <n v="6"/>
    <n v="155"/>
    <n v="24.7"/>
    <x v="2"/>
  </r>
  <r>
    <n v="34"/>
    <s v="Maven Toys Villahermosa 1"/>
    <x v="2"/>
    <n v="13"/>
    <s v="Gamer Headphones"/>
    <x v="2"/>
    <n v="3"/>
    <n v="288"/>
    <n v="6.6"/>
    <x v="2"/>
  </r>
  <r>
    <n v="34"/>
    <s v="Maven Toys Villahermosa 1"/>
    <x v="2"/>
    <n v="14"/>
    <s v="Glass Marbles"/>
    <x v="1"/>
    <n v="5"/>
    <n v="414"/>
    <n v="7.7"/>
    <x v="2"/>
  </r>
  <r>
    <n v="34"/>
    <s v="Maven Toys Villahermosa 1"/>
    <x v="2"/>
    <n v="15"/>
    <s v="Hot Wheels 5-Pack"/>
    <x v="0"/>
    <n v="10"/>
    <n v="580"/>
    <n v="11"/>
    <x v="2"/>
  </r>
  <r>
    <n v="34"/>
    <s v="Maven Toys Villahermosa 1"/>
    <x v="2"/>
    <n v="16"/>
    <s v="Jenga"/>
    <x v="1"/>
    <n v="7"/>
    <n v="189"/>
    <n v="23.6"/>
    <x v="2"/>
  </r>
  <r>
    <n v="34"/>
    <s v="Maven Toys Villahermosa 1"/>
    <x v="2"/>
    <n v="17"/>
    <s v="Kids Makeup Kit"/>
    <x v="3"/>
    <n v="19"/>
    <n v="461"/>
    <n v="26.3"/>
    <x v="2"/>
  </r>
  <r>
    <n v="34"/>
    <s v="Maven Toys Villahermosa 1"/>
    <x v="2"/>
    <n v="18"/>
    <s v="Lego Bricks"/>
    <x v="0"/>
    <n v="12"/>
    <n v="756"/>
    <n v="10.1"/>
    <x v="2"/>
  </r>
  <r>
    <n v="34"/>
    <s v="Maven Toys Villahermosa 1"/>
    <x v="2"/>
    <n v="19"/>
    <s v="Magic Sand"/>
    <x v="3"/>
    <n v="14"/>
    <n v="1379"/>
    <n v="6.5"/>
    <x v="2"/>
  </r>
  <r>
    <n v="34"/>
    <s v="Maven Toys Villahermosa 1"/>
    <x v="2"/>
    <n v="24"/>
    <s v="Nerf Gun"/>
    <x v="4"/>
    <n v="28"/>
    <n v="522"/>
    <n v="34.200000000000003"/>
    <x v="2"/>
  </r>
  <r>
    <n v="34"/>
    <s v="Maven Toys Villahermosa 1"/>
    <x v="2"/>
    <n v="25"/>
    <s v="PlayDoh Can"/>
    <x v="3"/>
    <n v="131"/>
    <n v="2682"/>
    <n v="31.1"/>
    <x v="2"/>
  </r>
  <r>
    <n v="34"/>
    <s v="Maven Toys Villahermosa 1"/>
    <x v="2"/>
    <n v="26"/>
    <s v="PlayDoh Playset"/>
    <x v="3"/>
    <n v="3"/>
    <n v="66"/>
    <n v="29"/>
    <x v="2"/>
  </r>
  <r>
    <n v="34"/>
    <s v="Maven Toys Villahermosa 1"/>
    <x v="2"/>
    <n v="27"/>
    <s v="PlayDoh Toolkit"/>
    <x v="3"/>
    <n v="12"/>
    <n v="557"/>
    <n v="13.7"/>
    <x v="2"/>
  </r>
  <r>
    <n v="34"/>
    <s v="Maven Toys Villahermosa 1"/>
    <x v="2"/>
    <n v="31"/>
    <s v="Splash Balls"/>
    <x v="4"/>
    <n v="30"/>
    <n v="940"/>
    <n v="20.3"/>
    <x v="2"/>
  </r>
  <r>
    <n v="33"/>
    <s v="Maven Toys Monterrey 3"/>
    <x v="3"/>
    <n v="22"/>
    <s v="Monopoly"/>
    <x v="1"/>
    <n v="5"/>
    <n v="108"/>
    <n v="29.5"/>
    <x v="2"/>
  </r>
  <r>
    <n v="34"/>
    <s v="Maven Toys Villahermosa 1"/>
    <x v="2"/>
    <n v="5"/>
    <s v="Classic Dominoes"/>
    <x v="1"/>
    <n v="7"/>
    <n v="219"/>
    <n v="20.399999999999999"/>
    <x v="2"/>
  </r>
  <r>
    <n v="34"/>
    <s v="Maven Toys Villahermosa 1"/>
    <x v="2"/>
    <n v="6"/>
    <s v="Colorbuds"/>
    <x v="2"/>
    <n v="24"/>
    <n v="2101"/>
    <n v="7.3"/>
    <x v="2"/>
  </r>
  <r>
    <n v="34"/>
    <s v="Maven Toys Villahermosa 1"/>
    <x v="2"/>
    <n v="7"/>
    <s v="Dart Gun"/>
    <x v="4"/>
    <n v="5"/>
    <n v="752"/>
    <n v="4.2"/>
    <x v="2"/>
  </r>
  <r>
    <n v="34"/>
    <s v="Maven Toys Villahermosa 1"/>
    <x v="2"/>
    <n v="8"/>
    <s v="Deck Of Cards"/>
    <x v="1"/>
    <n v="68"/>
    <n v="1545"/>
    <n v="28"/>
    <x v="2"/>
  </r>
  <r>
    <n v="33"/>
    <s v="Maven Toys Monterrey 3"/>
    <x v="3"/>
    <n v="31"/>
    <s v="Splash Balls"/>
    <x v="4"/>
    <n v="7"/>
    <n v="2270"/>
    <n v="2"/>
    <x v="2"/>
  </r>
  <r>
    <n v="34"/>
    <s v="Maven Toys Villahermosa 1"/>
    <x v="2"/>
    <n v="1"/>
    <s v="Action Figure"/>
    <x v="0"/>
    <n v="5"/>
    <n v="1319"/>
    <n v="2.4"/>
    <x v="2"/>
  </r>
  <r>
    <n v="34"/>
    <s v="Maven Toys Villahermosa 1"/>
    <x v="2"/>
    <n v="2"/>
    <s v="Animal Figures"/>
    <x v="0"/>
    <n v="25"/>
    <n v="636"/>
    <n v="25"/>
    <x v="2"/>
  </r>
  <r>
    <n v="34"/>
    <s v="Maven Toys Villahermosa 1"/>
    <x v="2"/>
    <n v="3"/>
    <s v="Barrel O' Slime"/>
    <x v="3"/>
    <n v="17"/>
    <n v="1812"/>
    <n v="6"/>
    <x v="2"/>
  </r>
  <r>
    <n v="33"/>
    <s v="Maven Toys Monterrey 3"/>
    <x v="3"/>
    <n v="16"/>
    <s v="Jenga"/>
    <x v="1"/>
    <n v="5"/>
    <n v="159"/>
    <n v="20"/>
    <x v="2"/>
  </r>
  <r>
    <n v="33"/>
    <s v="Maven Toys Monterrey 3"/>
    <x v="3"/>
    <n v="17"/>
    <s v="Kids Makeup Kit"/>
    <x v="3"/>
    <n v="2"/>
    <n v="469"/>
    <n v="2.7"/>
    <x v="2"/>
  </r>
  <r>
    <n v="33"/>
    <s v="Maven Toys Monterrey 3"/>
    <x v="3"/>
    <n v="18"/>
    <s v="Lego Bricks"/>
    <x v="0"/>
    <n v="15"/>
    <n v="1177"/>
    <n v="8.1"/>
    <x v="2"/>
  </r>
  <r>
    <n v="33"/>
    <s v="Maven Toys Monterrey 3"/>
    <x v="3"/>
    <n v="24"/>
    <s v="Nerf Gun"/>
    <x v="4"/>
    <n v="27"/>
    <n v="708"/>
    <n v="24.3"/>
    <x v="2"/>
  </r>
  <r>
    <n v="33"/>
    <s v="Maven Toys Monterrey 3"/>
    <x v="3"/>
    <n v="25"/>
    <s v="PlayDoh Can"/>
    <x v="3"/>
    <n v="57"/>
    <n v="1685"/>
    <n v="21.5"/>
    <x v="2"/>
  </r>
  <r>
    <n v="33"/>
    <s v="Maven Toys Monterrey 3"/>
    <x v="3"/>
    <n v="26"/>
    <s v="PlayDoh Playset"/>
    <x v="3"/>
    <n v="5"/>
    <n v="148"/>
    <n v="21.5"/>
    <x v="2"/>
  </r>
  <r>
    <n v="33"/>
    <s v="Maven Toys Monterrey 3"/>
    <x v="3"/>
    <n v="27"/>
    <s v="PlayDoh Toolkit"/>
    <x v="3"/>
    <n v="6"/>
    <n v="450"/>
    <n v="8.5"/>
    <x v="2"/>
  </r>
  <r>
    <n v="33"/>
    <s v="Maven Toys Monterrey 3"/>
    <x v="3"/>
    <n v="28"/>
    <s v="Playfoam"/>
    <x v="3"/>
    <n v="5"/>
    <n v="103"/>
    <n v="30.9"/>
    <x v="2"/>
  </r>
  <r>
    <n v="33"/>
    <s v="Maven Toys Monterrey 3"/>
    <x v="3"/>
    <n v="14"/>
    <s v="Glass Marbles"/>
    <x v="1"/>
    <n v="11"/>
    <n v="3356"/>
    <n v="2.1"/>
    <x v="2"/>
  </r>
  <r>
    <n v="33"/>
    <s v="Maven Toys Monterrey 3"/>
    <x v="3"/>
    <n v="1"/>
    <s v="Action Figure"/>
    <x v="0"/>
    <n v="10"/>
    <n v="879"/>
    <n v="7.2"/>
    <x v="2"/>
  </r>
  <r>
    <n v="33"/>
    <s v="Maven Toys Monterrey 3"/>
    <x v="3"/>
    <n v="2"/>
    <s v="Animal Figures"/>
    <x v="0"/>
    <n v="16"/>
    <n v="415"/>
    <n v="24.6"/>
    <x v="2"/>
  </r>
  <r>
    <n v="33"/>
    <s v="Maven Toys Monterrey 3"/>
    <x v="3"/>
    <n v="3"/>
    <s v="Barrel O' Slime"/>
    <x v="3"/>
    <n v="21"/>
    <n v="811"/>
    <n v="16.5"/>
    <x v="2"/>
  </r>
  <r>
    <n v="32"/>
    <s v="Maven Toys Hermosillo 1"/>
    <x v="0"/>
    <n v="25"/>
    <s v="PlayDoh Can"/>
    <x v="3"/>
    <n v="20"/>
    <n v="2053"/>
    <n v="6.2"/>
    <x v="2"/>
  </r>
  <r>
    <n v="32"/>
    <s v="Maven Toys Hermosillo 1"/>
    <x v="0"/>
    <n v="30"/>
    <s v="Rubik's Cube"/>
    <x v="1"/>
    <n v="28"/>
    <n v="926"/>
    <n v="19.3"/>
    <x v="2"/>
  </r>
  <r>
    <n v="32"/>
    <s v="Maven Toys Hermosillo 1"/>
    <x v="0"/>
    <n v="31"/>
    <s v="Splash Balls"/>
    <x v="4"/>
    <n v="4"/>
    <n v="1002"/>
    <n v="2.5"/>
    <x v="2"/>
  </r>
  <r>
    <n v="33"/>
    <s v="Maven Toys Monterrey 3"/>
    <x v="3"/>
    <n v="5"/>
    <s v="Classic Dominoes"/>
    <x v="1"/>
    <n v="7"/>
    <n v="174"/>
    <n v="25.6"/>
    <x v="2"/>
  </r>
  <r>
    <n v="33"/>
    <s v="Maven Toys Monterrey 3"/>
    <x v="3"/>
    <n v="6"/>
    <s v="Colorbuds"/>
    <x v="2"/>
    <n v="8"/>
    <n v="2046"/>
    <n v="2.5"/>
    <x v="2"/>
  </r>
  <r>
    <n v="33"/>
    <s v="Maven Toys Monterrey 3"/>
    <x v="3"/>
    <n v="7"/>
    <s v="Dart Gun"/>
    <x v="4"/>
    <n v="4"/>
    <n v="410"/>
    <n v="6.2"/>
    <x v="2"/>
  </r>
  <r>
    <n v="33"/>
    <s v="Maven Toys Monterrey 3"/>
    <x v="3"/>
    <n v="8"/>
    <s v="Deck Of Cards"/>
    <x v="1"/>
    <n v="66"/>
    <n v="2423"/>
    <n v="17.399999999999999"/>
    <x v="2"/>
  </r>
  <r>
    <n v="33"/>
    <s v="Maven Toys Monterrey 3"/>
    <x v="3"/>
    <n v="9"/>
    <s v="Dino Egg"/>
    <x v="0"/>
    <n v="3"/>
    <n v="526"/>
    <n v="3.6"/>
    <x v="2"/>
  </r>
  <r>
    <n v="33"/>
    <s v="Maven Toys Monterrey 3"/>
    <x v="3"/>
    <n v="10"/>
    <s v="Dinosaur Figures"/>
    <x v="0"/>
    <n v="12"/>
    <n v="521"/>
    <n v="14.7"/>
    <x v="2"/>
  </r>
  <r>
    <n v="33"/>
    <s v="Maven Toys Monterrey 3"/>
    <x v="3"/>
    <n v="11"/>
    <s v="Etch A Sketch"/>
    <x v="3"/>
    <n v="4"/>
    <n v="229"/>
    <n v="11.1"/>
    <x v="2"/>
  </r>
  <r>
    <n v="32"/>
    <s v="Maven Toys Hermosillo 1"/>
    <x v="0"/>
    <n v="1"/>
    <s v="Action Figure"/>
    <x v="0"/>
    <n v="25"/>
    <n v="1219"/>
    <n v="13.1"/>
    <x v="2"/>
  </r>
  <r>
    <n v="32"/>
    <s v="Maven Toys Hermosillo 1"/>
    <x v="0"/>
    <n v="2"/>
    <s v="Animal Figures"/>
    <x v="0"/>
    <n v="10"/>
    <n v="648"/>
    <n v="9.8000000000000007"/>
    <x v="2"/>
  </r>
  <r>
    <n v="32"/>
    <s v="Maven Toys Hermosillo 1"/>
    <x v="0"/>
    <n v="3"/>
    <s v="Barrel O' Slime"/>
    <x v="3"/>
    <n v="45"/>
    <n v="2130"/>
    <n v="13.5"/>
    <x v="2"/>
  </r>
  <r>
    <n v="32"/>
    <s v="Maven Toys Hermosillo 1"/>
    <x v="0"/>
    <n v="6"/>
    <s v="Colorbuds"/>
    <x v="2"/>
    <n v="65"/>
    <n v="3286"/>
    <n v="12.6"/>
    <x v="2"/>
  </r>
  <r>
    <n v="32"/>
    <s v="Maven Toys Hermosillo 1"/>
    <x v="0"/>
    <n v="7"/>
    <s v="Dart Gun"/>
    <x v="4"/>
    <n v="18"/>
    <n v="555"/>
    <n v="20.7"/>
    <x v="2"/>
  </r>
  <r>
    <n v="32"/>
    <s v="Maven Toys Hermosillo 1"/>
    <x v="0"/>
    <n v="8"/>
    <s v="Deck Of Cards"/>
    <x v="1"/>
    <n v="56"/>
    <n v="1718"/>
    <n v="20.8"/>
    <x v="2"/>
  </r>
  <r>
    <n v="32"/>
    <s v="Maven Toys Hermosillo 1"/>
    <x v="0"/>
    <n v="9"/>
    <s v="Dino Egg"/>
    <x v="0"/>
    <n v="3"/>
    <n v="1003"/>
    <n v="1.9"/>
    <x v="2"/>
  </r>
  <r>
    <n v="32"/>
    <s v="Maven Toys Hermosillo 1"/>
    <x v="0"/>
    <n v="11"/>
    <s v="Etch A Sketch"/>
    <x v="3"/>
    <n v="6"/>
    <n v="435"/>
    <n v="8.8000000000000007"/>
    <x v="2"/>
  </r>
  <r>
    <n v="32"/>
    <s v="Maven Toys Hermosillo 1"/>
    <x v="0"/>
    <n v="12"/>
    <s v="Foam Disk Launcher"/>
    <x v="4"/>
    <n v="4"/>
    <n v="74"/>
    <n v="34.4"/>
    <x v="2"/>
  </r>
  <r>
    <n v="32"/>
    <s v="Maven Toys Hermosillo 1"/>
    <x v="0"/>
    <n v="13"/>
    <s v="Gamer Headphones"/>
    <x v="2"/>
    <n v="13"/>
    <n v="389"/>
    <n v="21.3"/>
    <x v="2"/>
  </r>
  <r>
    <n v="32"/>
    <s v="Maven Toys Hermosillo 1"/>
    <x v="0"/>
    <n v="14"/>
    <s v="Glass Marbles"/>
    <x v="1"/>
    <n v="27"/>
    <n v="610"/>
    <n v="28.2"/>
    <x v="2"/>
  </r>
  <r>
    <n v="32"/>
    <s v="Maven Toys Hermosillo 1"/>
    <x v="0"/>
    <n v="15"/>
    <s v="Hot Wheels 5-Pack"/>
    <x v="0"/>
    <n v="27"/>
    <n v="518"/>
    <n v="33.200000000000003"/>
    <x v="2"/>
  </r>
  <r>
    <n v="32"/>
    <s v="Maven Toys Hermosillo 1"/>
    <x v="0"/>
    <n v="17"/>
    <s v="Kids Makeup Kit"/>
    <x v="3"/>
    <n v="8"/>
    <n v="157"/>
    <n v="32.5"/>
    <x v="2"/>
  </r>
  <r>
    <n v="50"/>
    <s v="Maven Toys Guanajuato 3"/>
    <x v="0"/>
    <n v="27"/>
    <s v="PlayDoh Toolkit"/>
    <x v="3"/>
    <n v="14"/>
    <n v="438"/>
    <n v="20.399999999999999"/>
    <x v="2"/>
  </r>
  <r>
    <n v="50"/>
    <s v="Maven Toys Guanajuato 3"/>
    <x v="0"/>
    <n v="30"/>
    <s v="Rubik's Cube"/>
    <x v="1"/>
    <n v="4"/>
    <n v="421"/>
    <n v="6.1"/>
    <x v="2"/>
  </r>
  <r>
    <n v="50"/>
    <s v="Maven Toys Guanajuato 3"/>
    <x v="0"/>
    <n v="31"/>
    <s v="Splash Balls"/>
    <x v="4"/>
    <n v="18"/>
    <n v="1265"/>
    <n v="9.1"/>
    <x v="2"/>
  </r>
  <r>
    <n v="50"/>
    <s v="Maven Toys Guanajuato 3"/>
    <x v="0"/>
    <n v="32"/>
    <s v="Supersoaker Water Gun"/>
    <x v="4"/>
    <n v="9"/>
    <n v="180"/>
    <n v="31.9"/>
    <x v="2"/>
  </r>
  <r>
    <n v="50"/>
    <s v="Maven Toys Guanajuato 3"/>
    <x v="0"/>
    <n v="33"/>
    <s v="Teddy Bear"/>
    <x v="0"/>
    <n v="1"/>
    <n v="110"/>
    <n v="5.8"/>
    <x v="2"/>
  </r>
  <r>
    <n v="50"/>
    <s v="Maven Toys Guanajuato 3"/>
    <x v="0"/>
    <n v="3"/>
    <s v="Barrel O' Slime"/>
    <x v="3"/>
    <n v="22"/>
    <n v="1167"/>
    <n v="12"/>
    <x v="2"/>
  </r>
  <r>
    <n v="50"/>
    <s v="Maven Toys Guanajuato 3"/>
    <x v="0"/>
    <n v="5"/>
    <s v="Classic Dominoes"/>
    <x v="1"/>
    <n v="3"/>
    <n v="199"/>
    <n v="9.6"/>
    <x v="2"/>
  </r>
  <r>
    <n v="50"/>
    <s v="Maven Toys Guanajuato 3"/>
    <x v="0"/>
    <n v="6"/>
    <s v="Colorbuds"/>
    <x v="2"/>
    <n v="27"/>
    <n v="946"/>
    <n v="18.2"/>
    <x v="2"/>
  </r>
  <r>
    <n v="50"/>
    <s v="Maven Toys Guanajuato 3"/>
    <x v="0"/>
    <n v="7"/>
    <s v="Dart Gun"/>
    <x v="4"/>
    <n v="13"/>
    <n v="524"/>
    <n v="15.8"/>
    <x v="2"/>
  </r>
  <r>
    <n v="50"/>
    <s v="Maven Toys Guanajuato 3"/>
    <x v="0"/>
    <n v="8"/>
    <s v="Deck Of Cards"/>
    <x v="1"/>
    <n v="51"/>
    <n v="1064"/>
    <n v="30.5"/>
    <x v="2"/>
  </r>
  <r>
    <n v="50"/>
    <s v="Maven Toys Guanajuato 3"/>
    <x v="0"/>
    <n v="9"/>
    <s v="Dino Egg"/>
    <x v="0"/>
    <n v="7"/>
    <n v="584"/>
    <n v="7.6"/>
    <x v="2"/>
  </r>
  <r>
    <n v="50"/>
    <s v="Maven Toys Guanajuato 3"/>
    <x v="0"/>
    <n v="15"/>
    <s v="Hot Wheels 5-Pack"/>
    <x v="0"/>
    <n v="16"/>
    <n v="532"/>
    <n v="19.2"/>
    <x v="2"/>
  </r>
  <r>
    <n v="50"/>
    <s v="Maven Toys Guanajuato 3"/>
    <x v="0"/>
    <n v="16"/>
    <s v="Jenga"/>
    <x v="1"/>
    <n v="5"/>
    <n v="272"/>
    <n v="11.7"/>
    <x v="2"/>
  </r>
  <r>
    <n v="50"/>
    <s v="Maven Toys Guanajuato 3"/>
    <x v="0"/>
    <n v="17"/>
    <s v="Kids Makeup Kit"/>
    <x v="3"/>
    <n v="6"/>
    <n v="341"/>
    <n v="11.2"/>
    <x v="2"/>
  </r>
  <r>
    <n v="50"/>
    <s v="Maven Toys Guanajuato 3"/>
    <x v="0"/>
    <n v="18"/>
    <s v="Lego Bricks"/>
    <x v="0"/>
    <n v="51"/>
    <n v="2183"/>
    <n v="14.9"/>
    <x v="2"/>
  </r>
  <r>
    <n v="50"/>
    <s v="Maven Toys Guanajuato 3"/>
    <x v="0"/>
    <n v="19"/>
    <s v="Magic Sand"/>
    <x v="3"/>
    <n v="40"/>
    <n v="1194"/>
    <n v="21.3"/>
    <x v="2"/>
  </r>
  <r>
    <n v="50"/>
    <s v="Maven Toys Guanajuato 3"/>
    <x v="0"/>
    <n v="22"/>
    <s v="Monopoly"/>
    <x v="1"/>
    <n v="1"/>
    <n v="145"/>
    <n v="4.4000000000000004"/>
    <x v="2"/>
  </r>
  <r>
    <n v="50"/>
    <s v="Maven Toys Guanajuato 3"/>
    <x v="0"/>
    <n v="24"/>
    <s v="Nerf Gun"/>
    <x v="4"/>
    <n v="10"/>
    <n v="652"/>
    <n v="9.8000000000000007"/>
    <x v="2"/>
  </r>
  <r>
    <n v="50"/>
    <s v="Maven Toys Guanajuato 3"/>
    <x v="0"/>
    <n v="25"/>
    <s v="PlayDoh Can"/>
    <x v="3"/>
    <n v="34"/>
    <n v="1744"/>
    <n v="12.4"/>
    <x v="2"/>
  </r>
  <r>
    <n v="49"/>
    <s v="Maven Toys Culiacan 1"/>
    <x v="2"/>
    <n v="11"/>
    <s v="Etch A Sketch"/>
    <x v="3"/>
    <n v="18"/>
    <n v="367"/>
    <n v="31.2"/>
    <x v="2"/>
  </r>
  <r>
    <n v="49"/>
    <s v="Maven Toys Culiacan 1"/>
    <x v="2"/>
    <n v="13"/>
    <s v="Gamer Headphones"/>
    <x v="2"/>
    <n v="18"/>
    <n v="368"/>
    <n v="31.2"/>
    <x v="2"/>
  </r>
  <r>
    <n v="49"/>
    <s v="Maven Toys Culiacan 1"/>
    <x v="2"/>
    <n v="24"/>
    <s v="Nerf Gun"/>
    <x v="4"/>
    <n v="23"/>
    <n v="452"/>
    <n v="32.4"/>
    <x v="2"/>
  </r>
  <r>
    <n v="49"/>
    <s v="Maven Toys Culiacan 1"/>
    <x v="2"/>
    <n v="25"/>
    <s v="PlayDoh Can"/>
    <x v="3"/>
    <n v="23"/>
    <n v="2820"/>
    <n v="5.2"/>
    <x v="2"/>
  </r>
  <r>
    <n v="49"/>
    <s v="Maven Toys Culiacan 1"/>
    <x v="2"/>
    <n v="30"/>
    <s v="Rubik's Cube"/>
    <x v="1"/>
    <n v="3"/>
    <n v="808"/>
    <n v="2.4"/>
    <x v="2"/>
  </r>
  <r>
    <n v="49"/>
    <s v="Maven Toys Culiacan 1"/>
    <x v="2"/>
    <n v="31"/>
    <s v="Splash Balls"/>
    <x v="4"/>
    <n v="51"/>
    <n v="1606"/>
    <n v="20.2"/>
    <x v="2"/>
  </r>
  <r>
    <n v="49"/>
    <s v="Maven Toys Culiacan 1"/>
    <x v="2"/>
    <n v="34"/>
    <s v="Toy Robot"/>
    <x v="2"/>
    <n v="2"/>
    <n v="88"/>
    <n v="14.5"/>
    <x v="2"/>
  </r>
  <r>
    <n v="50"/>
    <s v="Maven Toys Guanajuato 3"/>
    <x v="0"/>
    <n v="1"/>
    <s v="Action Figure"/>
    <x v="0"/>
    <n v="18"/>
    <n v="822"/>
    <n v="13.9"/>
    <x v="2"/>
  </r>
  <r>
    <n v="49"/>
    <s v="Maven Toys Culiacan 1"/>
    <x v="2"/>
    <n v="16"/>
    <s v="Jenga"/>
    <x v="1"/>
    <n v="1"/>
    <n v="228"/>
    <n v="2.8"/>
    <x v="2"/>
  </r>
  <r>
    <n v="49"/>
    <s v="Maven Toys Culiacan 1"/>
    <x v="2"/>
    <n v="17"/>
    <s v="Kids Makeup Kit"/>
    <x v="3"/>
    <n v="9"/>
    <n v="358"/>
    <n v="16"/>
    <x v="2"/>
  </r>
  <r>
    <n v="49"/>
    <s v="Maven Toys Culiacan 1"/>
    <x v="2"/>
    <n v="18"/>
    <s v="Lego Bricks"/>
    <x v="0"/>
    <n v="36"/>
    <n v="877"/>
    <n v="26.1"/>
    <x v="2"/>
  </r>
  <r>
    <n v="49"/>
    <s v="Maven Toys Culiacan 1"/>
    <x v="2"/>
    <n v="19"/>
    <s v="Magic Sand"/>
    <x v="3"/>
    <n v="48"/>
    <n v="1957"/>
    <n v="15.6"/>
    <x v="2"/>
  </r>
  <r>
    <n v="49"/>
    <s v="Maven Toys Culiacan 1"/>
    <x v="2"/>
    <n v="3"/>
    <s v="Barrel O' Slime"/>
    <x v="3"/>
    <n v="14"/>
    <n v="1657"/>
    <n v="5.4"/>
    <x v="2"/>
  </r>
  <r>
    <n v="49"/>
    <s v="Maven Toys Culiacan 1"/>
    <x v="2"/>
    <n v="6"/>
    <s v="Colorbuds"/>
    <x v="2"/>
    <n v="23"/>
    <n v="819"/>
    <n v="17.899999999999999"/>
    <x v="2"/>
  </r>
  <r>
    <n v="49"/>
    <s v="Maven Toys Culiacan 1"/>
    <x v="2"/>
    <n v="7"/>
    <s v="Dart Gun"/>
    <x v="4"/>
    <n v="24"/>
    <n v="591"/>
    <n v="25.9"/>
    <x v="2"/>
  </r>
  <r>
    <n v="49"/>
    <s v="Maven Toys Culiacan 1"/>
    <x v="2"/>
    <n v="9"/>
    <s v="Dino Egg"/>
    <x v="0"/>
    <n v="25"/>
    <n v="1035"/>
    <n v="15.4"/>
    <x v="2"/>
  </r>
  <r>
    <n v="48"/>
    <s v="Maven Toys Saltillo 2"/>
    <x v="1"/>
    <n v="35"/>
    <s v="Uno Card Game"/>
    <x v="1"/>
    <n v="3"/>
    <n v="122"/>
    <n v="15.7"/>
    <x v="2"/>
  </r>
  <r>
    <n v="49"/>
    <s v="Maven Toys Culiacan 1"/>
    <x v="2"/>
    <n v="1"/>
    <s v="Action Figure"/>
    <x v="0"/>
    <n v="30"/>
    <n v="887"/>
    <n v="21.5"/>
    <x v="2"/>
  </r>
  <r>
    <n v="48"/>
    <s v="Maven Toys Saltillo 2"/>
    <x v="1"/>
    <n v="31"/>
    <s v="Splash Balls"/>
    <x v="4"/>
    <n v="41"/>
    <n v="2263"/>
    <n v="11.5"/>
    <x v="2"/>
  </r>
  <r>
    <n v="48"/>
    <s v="Maven Toys Saltillo 2"/>
    <x v="1"/>
    <n v="32"/>
    <s v="Supersoaker Water Gun"/>
    <x v="4"/>
    <n v="7"/>
    <n v="164"/>
    <n v="27.2"/>
    <x v="2"/>
  </r>
  <r>
    <n v="48"/>
    <s v="Maven Toys Saltillo 2"/>
    <x v="1"/>
    <n v="12"/>
    <s v="Foam Disk Launcher"/>
    <x v="4"/>
    <n v="1"/>
    <n v="142"/>
    <n v="4.5"/>
    <x v="2"/>
  </r>
  <r>
    <n v="48"/>
    <s v="Maven Toys Saltillo 2"/>
    <x v="1"/>
    <n v="22"/>
    <s v="Monopoly"/>
    <x v="1"/>
    <n v="2"/>
    <n v="179"/>
    <n v="7.1"/>
    <x v="2"/>
  </r>
  <r>
    <n v="48"/>
    <s v="Maven Toys Saltillo 2"/>
    <x v="1"/>
    <n v="23"/>
    <s v="Mr. Potatohead"/>
    <x v="0"/>
    <n v="1"/>
    <n v="137"/>
    <n v="4.5999999999999996"/>
    <x v="2"/>
  </r>
  <r>
    <n v="48"/>
    <s v="Maven Toys Saltillo 2"/>
    <x v="1"/>
    <n v="25"/>
    <s v="PlayDoh Can"/>
    <x v="3"/>
    <n v="23"/>
    <n v="2595"/>
    <n v="5.6"/>
    <x v="2"/>
  </r>
  <r>
    <n v="48"/>
    <s v="Maven Toys Saltillo 2"/>
    <x v="1"/>
    <n v="26"/>
    <s v="PlayDoh Playset"/>
    <x v="3"/>
    <n v="2"/>
    <n v="167"/>
    <n v="7.6"/>
    <x v="2"/>
  </r>
  <r>
    <n v="48"/>
    <s v="Maven Toys Saltillo 2"/>
    <x v="1"/>
    <n v="28"/>
    <s v="Playfoam"/>
    <x v="3"/>
    <n v="1"/>
    <n v="211"/>
    <n v="3"/>
    <x v="2"/>
  </r>
  <r>
    <n v="47"/>
    <s v="Maven Toys Monterrey 4"/>
    <x v="1"/>
    <n v="14"/>
    <s v="Glass Marbles"/>
    <x v="1"/>
    <n v="11"/>
    <n v="414"/>
    <n v="16.899999999999999"/>
    <x v="2"/>
  </r>
  <r>
    <n v="47"/>
    <s v="Maven Toys Monterrey 4"/>
    <x v="1"/>
    <n v="15"/>
    <s v="Hot Wheels 5-Pack"/>
    <x v="0"/>
    <n v="3"/>
    <n v="602"/>
    <n v="3.2"/>
    <x v="2"/>
  </r>
  <r>
    <n v="47"/>
    <s v="Maven Toys Monterrey 4"/>
    <x v="1"/>
    <n v="17"/>
    <s v="Kids Makeup Kit"/>
    <x v="3"/>
    <n v="8"/>
    <n v="1076"/>
    <n v="4.7"/>
    <x v="2"/>
  </r>
  <r>
    <n v="47"/>
    <s v="Maven Toys Monterrey 4"/>
    <x v="1"/>
    <n v="18"/>
    <s v="Lego Bricks"/>
    <x v="0"/>
    <n v="12"/>
    <n v="1656"/>
    <n v="4.5999999999999996"/>
    <x v="2"/>
  </r>
  <r>
    <n v="47"/>
    <s v="Maven Toys Monterrey 4"/>
    <x v="1"/>
    <n v="19"/>
    <s v="Magic Sand"/>
    <x v="3"/>
    <n v="68"/>
    <n v="1297"/>
    <n v="33.4"/>
    <x v="2"/>
  </r>
  <r>
    <n v="47"/>
    <s v="Maven Toys Monterrey 4"/>
    <x v="1"/>
    <n v="24"/>
    <s v="Nerf Gun"/>
    <x v="4"/>
    <n v="24"/>
    <n v="650"/>
    <n v="23.5"/>
    <x v="2"/>
  </r>
  <r>
    <n v="47"/>
    <s v="Maven Toys Monterrey 4"/>
    <x v="1"/>
    <n v="25"/>
    <s v="PlayDoh Can"/>
    <x v="3"/>
    <n v="14"/>
    <n v="1028"/>
    <n v="8.6999999999999993"/>
    <x v="2"/>
  </r>
  <r>
    <n v="47"/>
    <s v="Maven Toys Monterrey 4"/>
    <x v="1"/>
    <n v="6"/>
    <s v="Colorbuds"/>
    <x v="2"/>
    <n v="11"/>
    <n v="1485"/>
    <n v="4.7"/>
    <x v="2"/>
  </r>
  <r>
    <n v="47"/>
    <s v="Maven Toys Monterrey 4"/>
    <x v="1"/>
    <n v="7"/>
    <s v="Dart Gun"/>
    <x v="4"/>
    <n v="4"/>
    <n v="559"/>
    <n v="4.5999999999999996"/>
    <x v="2"/>
  </r>
  <r>
    <n v="47"/>
    <s v="Maven Toys Monterrey 4"/>
    <x v="1"/>
    <n v="28"/>
    <s v="Playfoam"/>
    <x v="3"/>
    <n v="4"/>
    <n v="208"/>
    <n v="12.3"/>
    <x v="2"/>
  </r>
  <r>
    <n v="47"/>
    <s v="Maven Toys Monterrey 4"/>
    <x v="1"/>
    <n v="34"/>
    <s v="Toy Robot"/>
    <x v="2"/>
    <n v="3"/>
    <n v="410"/>
    <n v="4.7"/>
    <x v="2"/>
  </r>
  <r>
    <n v="48"/>
    <s v="Maven Toys Saltillo 2"/>
    <x v="1"/>
    <n v="1"/>
    <s v="Action Figure"/>
    <x v="0"/>
    <n v="3"/>
    <n v="563"/>
    <n v="3.4"/>
    <x v="2"/>
  </r>
  <r>
    <n v="48"/>
    <s v="Maven Toys Saltillo 2"/>
    <x v="1"/>
    <n v="2"/>
    <s v="Animal Figures"/>
    <x v="0"/>
    <n v="23"/>
    <n v="454"/>
    <n v="32.299999999999997"/>
    <x v="2"/>
  </r>
  <r>
    <n v="48"/>
    <s v="Maven Toys Saltillo 2"/>
    <x v="1"/>
    <n v="5"/>
    <s v="Classic Dominoes"/>
    <x v="1"/>
    <n v="9"/>
    <n v="240"/>
    <n v="23.9"/>
    <x v="2"/>
  </r>
  <r>
    <n v="48"/>
    <s v="Maven Toys Saltillo 2"/>
    <x v="1"/>
    <n v="6"/>
    <s v="Colorbuds"/>
    <x v="2"/>
    <n v="6"/>
    <n v="2080"/>
    <n v="1.8"/>
    <x v="2"/>
  </r>
  <r>
    <n v="48"/>
    <s v="Maven Toys Saltillo 2"/>
    <x v="1"/>
    <n v="7"/>
    <s v="Dart Gun"/>
    <x v="4"/>
    <n v="28"/>
    <n v="695"/>
    <n v="25.7"/>
    <x v="2"/>
  </r>
  <r>
    <n v="47"/>
    <s v="Maven Toys Monterrey 4"/>
    <x v="1"/>
    <n v="31"/>
    <s v="Splash Balls"/>
    <x v="4"/>
    <n v="48"/>
    <n v="4812"/>
    <n v="6.4"/>
    <x v="2"/>
  </r>
  <r>
    <n v="47"/>
    <s v="Maven Toys Monterrey 4"/>
    <x v="1"/>
    <n v="32"/>
    <s v="Supersoaker Water Gun"/>
    <x v="4"/>
    <n v="6"/>
    <n v="272"/>
    <n v="14.1"/>
    <x v="2"/>
  </r>
  <r>
    <n v="48"/>
    <s v="Maven Toys Saltillo 2"/>
    <x v="1"/>
    <n v="9"/>
    <s v="Dino Egg"/>
    <x v="0"/>
    <n v="13"/>
    <n v="352"/>
    <n v="23.5"/>
    <x v="2"/>
  </r>
  <r>
    <n v="48"/>
    <s v="Maven Toys Saltillo 2"/>
    <x v="1"/>
    <n v="14"/>
    <s v="Glass Marbles"/>
    <x v="1"/>
    <n v="11"/>
    <n v="891"/>
    <n v="7.9"/>
    <x v="2"/>
  </r>
  <r>
    <n v="48"/>
    <s v="Maven Toys Saltillo 2"/>
    <x v="1"/>
    <n v="15"/>
    <s v="Hot Wheels 5-Pack"/>
    <x v="0"/>
    <n v="3"/>
    <n v="310"/>
    <n v="6.2"/>
    <x v="2"/>
  </r>
  <r>
    <n v="48"/>
    <s v="Maven Toys Saltillo 2"/>
    <x v="1"/>
    <n v="16"/>
    <s v="Jenga"/>
    <x v="1"/>
    <n v="5"/>
    <n v="401"/>
    <n v="7.9"/>
    <x v="2"/>
  </r>
  <r>
    <n v="48"/>
    <s v="Maven Toys Saltillo 2"/>
    <x v="1"/>
    <n v="17"/>
    <s v="Kids Makeup Kit"/>
    <x v="3"/>
    <n v="9"/>
    <n v="343"/>
    <n v="16.7"/>
    <x v="2"/>
  </r>
  <r>
    <n v="48"/>
    <s v="Maven Toys Saltillo 2"/>
    <x v="1"/>
    <n v="18"/>
    <s v="Lego Bricks"/>
    <x v="0"/>
    <n v="10"/>
    <n v="1023"/>
    <n v="6.2"/>
    <x v="2"/>
  </r>
  <r>
    <n v="46"/>
    <s v="Maven Toys Guadalajara 4"/>
    <x v="2"/>
    <n v="9"/>
    <s v="Dino Egg"/>
    <x v="0"/>
    <n v="22"/>
    <n v="595"/>
    <n v="23.6"/>
    <x v="2"/>
  </r>
  <r>
    <n v="45"/>
    <s v="Maven Toys Ciudad de Mexico 4"/>
    <x v="1"/>
    <n v="34"/>
    <s v="Toy Robot"/>
    <x v="2"/>
    <n v="3"/>
    <n v="384"/>
    <n v="5"/>
    <x v="2"/>
  </r>
  <r>
    <n v="46"/>
    <s v="Maven Toys Guadalajara 4"/>
    <x v="2"/>
    <n v="1"/>
    <s v="Action Figure"/>
    <x v="0"/>
    <n v="11"/>
    <n v="2192"/>
    <n v="3.2"/>
    <x v="2"/>
  </r>
  <r>
    <n v="46"/>
    <s v="Maven Toys Guadalajara 4"/>
    <x v="2"/>
    <n v="2"/>
    <s v="Animal Figures"/>
    <x v="0"/>
    <n v="3"/>
    <n v="1336"/>
    <n v="1.4"/>
    <x v="2"/>
  </r>
  <r>
    <n v="46"/>
    <s v="Maven Toys Guadalajara 4"/>
    <x v="2"/>
    <n v="3"/>
    <s v="Barrel O' Slime"/>
    <x v="3"/>
    <n v="24"/>
    <n v="1541"/>
    <n v="9.9"/>
    <x v="2"/>
  </r>
  <r>
    <n v="46"/>
    <s v="Maven Toys Guadalajara 4"/>
    <x v="2"/>
    <n v="6"/>
    <s v="Colorbuds"/>
    <x v="2"/>
    <n v="65"/>
    <n v="3655"/>
    <n v="11.3"/>
    <x v="2"/>
  </r>
  <r>
    <n v="46"/>
    <s v="Maven Toys Guadalajara 4"/>
    <x v="2"/>
    <n v="7"/>
    <s v="Dart Gun"/>
    <x v="4"/>
    <n v="15"/>
    <n v="592"/>
    <n v="16.100000000000001"/>
    <x v="2"/>
  </r>
  <r>
    <n v="46"/>
    <s v="Maven Toys Guadalajara 4"/>
    <x v="2"/>
    <n v="11"/>
    <s v="Etch A Sketch"/>
    <x v="3"/>
    <n v="12"/>
    <n v="438"/>
    <n v="17.5"/>
    <x v="2"/>
  </r>
  <r>
    <n v="46"/>
    <s v="Maven Toys Guadalajara 4"/>
    <x v="2"/>
    <n v="12"/>
    <s v="Foam Disk Launcher"/>
    <x v="4"/>
    <n v="13"/>
    <n v="255"/>
    <n v="32.5"/>
    <x v="2"/>
  </r>
  <r>
    <n v="46"/>
    <s v="Maven Toys Guadalajara 4"/>
    <x v="2"/>
    <n v="13"/>
    <s v="Gamer Headphones"/>
    <x v="2"/>
    <n v="6"/>
    <n v="787"/>
    <n v="4.9000000000000004"/>
    <x v="2"/>
  </r>
  <r>
    <n v="46"/>
    <s v="Maven Toys Guadalajara 4"/>
    <x v="2"/>
    <n v="14"/>
    <s v="Glass Marbles"/>
    <x v="1"/>
    <n v="29"/>
    <n v="867"/>
    <n v="21.3"/>
    <x v="2"/>
  </r>
  <r>
    <n v="46"/>
    <s v="Maven Toys Guadalajara 4"/>
    <x v="2"/>
    <n v="15"/>
    <s v="Hot Wheels 5-Pack"/>
    <x v="0"/>
    <n v="6"/>
    <n v="571"/>
    <n v="6.7"/>
    <x v="2"/>
  </r>
  <r>
    <n v="46"/>
    <s v="Maven Toys Guadalajara 4"/>
    <x v="2"/>
    <n v="18"/>
    <s v="Lego Bricks"/>
    <x v="0"/>
    <n v="21"/>
    <n v="1501"/>
    <n v="8.9"/>
    <x v="2"/>
  </r>
  <r>
    <n v="46"/>
    <s v="Maven Toys Guadalajara 4"/>
    <x v="2"/>
    <n v="21"/>
    <s v="Mini Ping Pong Set"/>
    <x v="4"/>
    <n v="2"/>
    <n v="134"/>
    <n v="9.5"/>
    <x v="2"/>
  </r>
  <r>
    <n v="46"/>
    <s v="Maven Toys Guadalajara 4"/>
    <x v="2"/>
    <n v="24"/>
    <s v="Nerf Gun"/>
    <x v="4"/>
    <n v="10"/>
    <n v="580"/>
    <n v="11"/>
    <x v="2"/>
  </r>
  <r>
    <n v="46"/>
    <s v="Maven Toys Guadalajara 4"/>
    <x v="2"/>
    <n v="25"/>
    <s v="PlayDoh Can"/>
    <x v="3"/>
    <n v="37"/>
    <n v="2000"/>
    <n v="11.8"/>
    <x v="2"/>
  </r>
  <r>
    <n v="45"/>
    <s v="Maven Toys Ciudad de Mexico 4"/>
    <x v="1"/>
    <n v="27"/>
    <s v="PlayDoh Toolkit"/>
    <x v="3"/>
    <n v="14"/>
    <n v="452"/>
    <n v="19.7"/>
    <x v="2"/>
  </r>
  <r>
    <n v="46"/>
    <s v="Maven Toys Guadalajara 4"/>
    <x v="2"/>
    <n v="28"/>
    <s v="Playfoam"/>
    <x v="3"/>
    <n v="1"/>
    <n v="72"/>
    <n v="8.8000000000000007"/>
    <x v="2"/>
  </r>
  <r>
    <n v="46"/>
    <s v="Maven Toys Guadalajara 4"/>
    <x v="2"/>
    <n v="29"/>
    <s v="Plush Pony"/>
    <x v="0"/>
    <n v="3"/>
    <n v="138"/>
    <n v="13.8"/>
    <x v="2"/>
  </r>
  <r>
    <n v="46"/>
    <s v="Maven Toys Guadalajara 4"/>
    <x v="2"/>
    <n v="30"/>
    <s v="Rubik's Cube"/>
    <x v="1"/>
    <n v="9"/>
    <n v="1325"/>
    <n v="4.3"/>
    <x v="2"/>
  </r>
  <r>
    <n v="46"/>
    <s v="Maven Toys Guadalajara 4"/>
    <x v="2"/>
    <n v="31"/>
    <s v="Splash Balls"/>
    <x v="4"/>
    <n v="13"/>
    <n v="1124"/>
    <n v="7.4"/>
    <x v="2"/>
  </r>
  <r>
    <n v="46"/>
    <s v="Maven Toys Guadalajara 4"/>
    <x v="2"/>
    <n v="33"/>
    <s v="Teddy Bear"/>
    <x v="0"/>
    <n v="11"/>
    <n v="285"/>
    <n v="24.6"/>
    <x v="2"/>
  </r>
  <r>
    <n v="47"/>
    <s v="Maven Toys Monterrey 4"/>
    <x v="1"/>
    <n v="1"/>
    <s v="Action Figure"/>
    <x v="0"/>
    <n v="11"/>
    <n v="1287"/>
    <n v="5.4"/>
    <x v="2"/>
  </r>
  <r>
    <n v="47"/>
    <s v="Maven Toys Monterrey 4"/>
    <x v="1"/>
    <n v="2"/>
    <s v="Animal Figures"/>
    <x v="0"/>
    <n v="15"/>
    <n v="1095"/>
    <n v="8.6999999999999993"/>
    <x v="2"/>
  </r>
  <r>
    <n v="47"/>
    <s v="Maven Toys Monterrey 4"/>
    <x v="1"/>
    <n v="9"/>
    <s v="Dino Egg"/>
    <x v="0"/>
    <n v="6"/>
    <n v="664"/>
    <n v="5.8"/>
    <x v="2"/>
  </r>
  <r>
    <n v="47"/>
    <s v="Maven Toys Monterrey 4"/>
    <x v="1"/>
    <n v="10"/>
    <s v="Dinosaur Figures"/>
    <x v="0"/>
    <n v="20"/>
    <n v="409"/>
    <n v="31.1"/>
    <x v="2"/>
  </r>
  <r>
    <n v="47"/>
    <s v="Maven Toys Monterrey 4"/>
    <x v="1"/>
    <n v="11"/>
    <s v="Etch A Sketch"/>
    <x v="3"/>
    <n v="10"/>
    <n v="320"/>
    <n v="19.899999999999999"/>
    <x v="2"/>
  </r>
  <r>
    <n v="47"/>
    <s v="Maven Toys Monterrey 4"/>
    <x v="1"/>
    <n v="12"/>
    <s v="Foam Disk Launcher"/>
    <x v="4"/>
    <n v="5"/>
    <n v="247"/>
    <n v="12.9"/>
    <x v="2"/>
  </r>
  <r>
    <n v="45"/>
    <s v="Maven Toys Ciudad de Mexico 4"/>
    <x v="1"/>
    <n v="29"/>
    <s v="Plush Pony"/>
    <x v="0"/>
    <n v="4"/>
    <n v="267"/>
    <n v="9.5"/>
    <x v="2"/>
  </r>
  <r>
    <n v="45"/>
    <s v="Maven Toys Ciudad de Mexico 4"/>
    <x v="1"/>
    <n v="30"/>
    <s v="Rubik's Cube"/>
    <x v="1"/>
    <n v="36"/>
    <n v="1511"/>
    <n v="15.2"/>
    <x v="2"/>
  </r>
  <r>
    <n v="45"/>
    <s v="Maven Toys Ciudad de Mexico 4"/>
    <x v="1"/>
    <n v="31"/>
    <s v="Splash Balls"/>
    <x v="4"/>
    <n v="6"/>
    <n v="786"/>
    <n v="4.9000000000000004"/>
    <x v="2"/>
  </r>
  <r>
    <n v="45"/>
    <s v="Maven Toys Ciudad de Mexico 4"/>
    <x v="1"/>
    <n v="32"/>
    <s v="Supersoaker Water Gun"/>
    <x v="4"/>
    <n v="6"/>
    <n v="310"/>
    <n v="12.3"/>
    <x v="2"/>
  </r>
  <r>
    <n v="45"/>
    <s v="Maven Toys Ciudad de Mexico 4"/>
    <x v="1"/>
    <n v="21"/>
    <s v="Mini Ping Pong Set"/>
    <x v="4"/>
    <n v="14"/>
    <n v="300"/>
    <n v="29.7"/>
    <x v="2"/>
  </r>
  <r>
    <n v="45"/>
    <s v="Maven Toys Ciudad de Mexico 4"/>
    <x v="1"/>
    <n v="23"/>
    <s v="Mr. Potatohead"/>
    <x v="0"/>
    <n v="16"/>
    <n v="325"/>
    <n v="31.4"/>
    <x v="2"/>
  </r>
  <r>
    <n v="45"/>
    <s v="Maven Toys Ciudad de Mexico 4"/>
    <x v="1"/>
    <n v="24"/>
    <s v="Nerf Gun"/>
    <x v="4"/>
    <n v="26"/>
    <n v="648"/>
    <n v="25.6"/>
    <x v="2"/>
  </r>
  <r>
    <n v="45"/>
    <s v="Maven Toys Ciudad de Mexico 4"/>
    <x v="1"/>
    <n v="25"/>
    <s v="PlayDoh Can"/>
    <x v="3"/>
    <n v="57"/>
    <n v="1773"/>
    <n v="20.5"/>
    <x v="2"/>
  </r>
  <r>
    <n v="45"/>
    <s v="Maven Toys Ciudad de Mexico 4"/>
    <x v="1"/>
    <n v="10"/>
    <s v="Dinosaur Figures"/>
    <x v="0"/>
    <n v="42"/>
    <n v="910"/>
    <n v="29.4"/>
    <x v="2"/>
  </r>
  <r>
    <n v="45"/>
    <s v="Maven Toys Ciudad de Mexico 4"/>
    <x v="1"/>
    <n v="14"/>
    <s v="Glass Marbles"/>
    <x v="1"/>
    <n v="18"/>
    <n v="479"/>
    <n v="23.9"/>
    <x v="2"/>
  </r>
  <r>
    <n v="45"/>
    <s v="Maven Toys Ciudad de Mexico 4"/>
    <x v="1"/>
    <n v="15"/>
    <s v="Hot Wheels 5-Pack"/>
    <x v="0"/>
    <n v="19"/>
    <n v="685"/>
    <n v="17.7"/>
    <x v="2"/>
  </r>
  <r>
    <n v="45"/>
    <s v="Maven Toys Ciudad de Mexico 4"/>
    <x v="1"/>
    <n v="17"/>
    <s v="Kids Makeup Kit"/>
    <x v="3"/>
    <n v="4"/>
    <n v="580"/>
    <n v="4.4000000000000004"/>
    <x v="2"/>
  </r>
  <r>
    <n v="45"/>
    <s v="Maven Toys Ciudad de Mexico 4"/>
    <x v="1"/>
    <n v="18"/>
    <s v="Lego Bricks"/>
    <x v="0"/>
    <n v="14"/>
    <n v="1242"/>
    <n v="7.2"/>
    <x v="2"/>
  </r>
  <r>
    <n v="44"/>
    <s v="Maven Toys Puebla 3"/>
    <x v="0"/>
    <n v="14"/>
    <s v="Glass Marbles"/>
    <x v="1"/>
    <n v="7"/>
    <n v="544"/>
    <n v="8.1999999999999993"/>
    <x v="2"/>
  </r>
  <r>
    <n v="44"/>
    <s v="Maven Toys Puebla 3"/>
    <x v="0"/>
    <n v="15"/>
    <s v="Hot Wheels 5-Pack"/>
    <x v="0"/>
    <n v="4"/>
    <n v="381"/>
    <n v="6.7"/>
    <x v="2"/>
  </r>
  <r>
    <n v="44"/>
    <s v="Maven Toys Puebla 3"/>
    <x v="0"/>
    <n v="16"/>
    <s v="Jenga"/>
    <x v="1"/>
    <n v="3"/>
    <n v="68"/>
    <n v="28.1"/>
    <x v="2"/>
  </r>
  <r>
    <n v="44"/>
    <s v="Maven Toys Puebla 3"/>
    <x v="0"/>
    <n v="17"/>
    <s v="Kids Makeup Kit"/>
    <x v="3"/>
    <n v="10"/>
    <n v="719"/>
    <n v="8.9"/>
    <x v="2"/>
  </r>
  <r>
    <n v="44"/>
    <s v="Maven Toys Puebla 3"/>
    <x v="0"/>
    <n v="6"/>
    <s v="Colorbuds"/>
    <x v="2"/>
    <n v="2"/>
    <n v="3048"/>
    <n v="0.4"/>
    <x v="2"/>
  </r>
  <r>
    <n v="44"/>
    <s v="Maven Toys Puebla 3"/>
    <x v="0"/>
    <n v="7"/>
    <s v="Dart Gun"/>
    <x v="4"/>
    <n v="17"/>
    <n v="737"/>
    <n v="14.7"/>
    <x v="2"/>
  </r>
  <r>
    <n v="44"/>
    <s v="Maven Toys Puebla 3"/>
    <x v="0"/>
    <n v="8"/>
    <s v="Deck Of Cards"/>
    <x v="1"/>
    <n v="33"/>
    <n v="1477"/>
    <n v="14.2"/>
    <x v="2"/>
  </r>
  <r>
    <n v="44"/>
    <s v="Maven Toys Puebla 3"/>
    <x v="0"/>
    <n v="10"/>
    <s v="Dinosaur Figures"/>
    <x v="0"/>
    <n v="41"/>
    <n v="1267"/>
    <n v="20.6"/>
    <x v="2"/>
  </r>
  <r>
    <n v="44"/>
    <s v="Maven Toys Puebla 3"/>
    <x v="0"/>
    <n v="24"/>
    <s v="Nerf Gun"/>
    <x v="4"/>
    <n v="6"/>
    <n v="353"/>
    <n v="10.8"/>
    <x v="2"/>
  </r>
  <r>
    <n v="44"/>
    <s v="Maven Toys Puebla 3"/>
    <x v="0"/>
    <n v="25"/>
    <s v="PlayDoh Can"/>
    <x v="3"/>
    <n v="26"/>
    <n v="2132"/>
    <n v="7.8"/>
    <x v="2"/>
  </r>
  <r>
    <n v="44"/>
    <s v="Maven Toys Puebla 3"/>
    <x v="0"/>
    <n v="27"/>
    <s v="PlayDoh Toolkit"/>
    <x v="3"/>
    <n v="24"/>
    <n v="681"/>
    <n v="22.4"/>
    <x v="2"/>
  </r>
  <r>
    <n v="44"/>
    <s v="Maven Toys Puebla 3"/>
    <x v="0"/>
    <n v="30"/>
    <s v="Rubik's Cube"/>
    <x v="1"/>
    <n v="26"/>
    <n v="921"/>
    <n v="18"/>
    <x v="2"/>
  </r>
  <r>
    <n v="44"/>
    <s v="Maven Toys Puebla 3"/>
    <x v="0"/>
    <n v="31"/>
    <s v="Splash Balls"/>
    <x v="4"/>
    <n v="8"/>
    <n v="794"/>
    <n v="6.4"/>
    <x v="2"/>
  </r>
  <r>
    <n v="45"/>
    <s v="Maven Toys Ciudad de Mexico 4"/>
    <x v="1"/>
    <n v="1"/>
    <s v="Action Figure"/>
    <x v="0"/>
    <n v="26"/>
    <n v="1307"/>
    <n v="12.7"/>
    <x v="2"/>
  </r>
  <r>
    <n v="45"/>
    <s v="Maven Toys Ciudad de Mexico 4"/>
    <x v="1"/>
    <n v="2"/>
    <s v="Animal Figures"/>
    <x v="0"/>
    <n v="23"/>
    <n v="1113"/>
    <n v="13.2"/>
    <x v="2"/>
  </r>
  <r>
    <n v="45"/>
    <s v="Maven Toys Ciudad de Mexico 4"/>
    <x v="1"/>
    <n v="3"/>
    <s v="Barrel O' Slime"/>
    <x v="3"/>
    <n v="63"/>
    <n v="1497"/>
    <n v="26.8"/>
    <x v="2"/>
  </r>
  <r>
    <n v="45"/>
    <s v="Maven Toys Ciudad de Mexico 4"/>
    <x v="1"/>
    <n v="6"/>
    <s v="Colorbuds"/>
    <x v="2"/>
    <n v="8"/>
    <n v="3200"/>
    <n v="1.6"/>
    <x v="2"/>
  </r>
  <r>
    <n v="45"/>
    <s v="Maven Toys Ciudad de Mexico 4"/>
    <x v="1"/>
    <n v="7"/>
    <s v="Dart Gun"/>
    <x v="4"/>
    <n v="15"/>
    <n v="1161"/>
    <n v="8.1999999999999993"/>
    <x v="2"/>
  </r>
  <r>
    <n v="45"/>
    <s v="Maven Toys Ciudad de Mexico 4"/>
    <x v="1"/>
    <n v="8"/>
    <s v="Deck Of Cards"/>
    <x v="1"/>
    <n v="8"/>
    <n v="1004"/>
    <n v="5.0999999999999996"/>
    <x v="2"/>
  </r>
  <r>
    <n v="44"/>
    <s v="Maven Toys Puebla 3"/>
    <x v="0"/>
    <n v="2"/>
    <s v="Animal Figures"/>
    <x v="0"/>
    <n v="4"/>
    <n v="920"/>
    <n v="2.8"/>
    <x v="2"/>
  </r>
  <r>
    <n v="44"/>
    <s v="Maven Toys Puebla 3"/>
    <x v="0"/>
    <n v="3"/>
    <s v="Barrel O' Slime"/>
    <x v="3"/>
    <n v="19"/>
    <n v="1598"/>
    <n v="7.6"/>
    <x v="2"/>
  </r>
  <r>
    <n v="43"/>
    <s v="Maven Toys Durango 1"/>
    <x v="2"/>
    <n v="30"/>
    <s v="Rubik's Cube"/>
    <x v="1"/>
    <n v="14"/>
    <n v="581"/>
    <n v="15.3"/>
    <x v="2"/>
  </r>
  <r>
    <n v="43"/>
    <s v="Maven Toys Durango 1"/>
    <x v="2"/>
    <n v="31"/>
    <s v="Splash Balls"/>
    <x v="4"/>
    <n v="18"/>
    <n v="1191"/>
    <n v="9.6"/>
    <x v="2"/>
  </r>
  <r>
    <n v="43"/>
    <s v="Maven Toys Durango 1"/>
    <x v="2"/>
    <n v="33"/>
    <s v="Teddy Bear"/>
    <x v="0"/>
    <n v="5"/>
    <n v="149"/>
    <n v="21.4"/>
    <x v="2"/>
  </r>
  <r>
    <n v="43"/>
    <s v="Maven Toys Durango 1"/>
    <x v="2"/>
    <n v="34"/>
    <s v="Toy Robot"/>
    <x v="2"/>
    <n v="7"/>
    <n v="138"/>
    <n v="32.299999999999997"/>
    <x v="2"/>
  </r>
  <r>
    <n v="43"/>
    <s v="Maven Toys Durango 1"/>
    <x v="2"/>
    <n v="23"/>
    <s v="Mr. Potatohead"/>
    <x v="0"/>
    <n v="2"/>
    <n v="249"/>
    <n v="5.0999999999999996"/>
    <x v="2"/>
  </r>
  <r>
    <n v="43"/>
    <s v="Maven Toys Durango 1"/>
    <x v="2"/>
    <n v="24"/>
    <s v="Nerf Gun"/>
    <x v="4"/>
    <n v="16"/>
    <n v="519"/>
    <n v="19.600000000000001"/>
    <x v="2"/>
  </r>
  <r>
    <n v="43"/>
    <s v="Maven Toys Durango 1"/>
    <x v="2"/>
    <n v="25"/>
    <s v="PlayDoh Can"/>
    <x v="3"/>
    <n v="55"/>
    <n v="2123"/>
    <n v="16.5"/>
    <x v="2"/>
  </r>
  <r>
    <n v="43"/>
    <s v="Maven Toys Durango 1"/>
    <x v="2"/>
    <n v="26"/>
    <s v="PlayDoh Playset"/>
    <x v="3"/>
    <n v="6"/>
    <n v="138"/>
    <n v="27.7"/>
    <x v="2"/>
  </r>
  <r>
    <n v="43"/>
    <s v="Maven Toys Durango 1"/>
    <x v="2"/>
    <n v="1"/>
    <s v="Action Figure"/>
    <x v="0"/>
    <n v="24"/>
    <n v="873"/>
    <n v="17.5"/>
    <x v="2"/>
  </r>
  <r>
    <n v="43"/>
    <s v="Maven Toys Durango 1"/>
    <x v="2"/>
    <n v="2"/>
    <s v="Animal Figures"/>
    <x v="0"/>
    <n v="8"/>
    <n v="383"/>
    <n v="13.3"/>
    <x v="2"/>
  </r>
  <r>
    <n v="43"/>
    <s v="Maven Toys Durango 1"/>
    <x v="2"/>
    <n v="3"/>
    <s v="Barrel O' Slime"/>
    <x v="3"/>
    <n v="20"/>
    <n v="1010"/>
    <n v="12.6"/>
    <x v="2"/>
  </r>
  <r>
    <n v="43"/>
    <s v="Maven Toys Durango 1"/>
    <x v="2"/>
    <n v="6"/>
    <s v="Colorbuds"/>
    <x v="2"/>
    <n v="18"/>
    <n v="1852"/>
    <n v="6.2"/>
    <x v="2"/>
  </r>
  <r>
    <n v="43"/>
    <s v="Maven Toys Durango 1"/>
    <x v="2"/>
    <n v="7"/>
    <s v="Dart Gun"/>
    <x v="4"/>
    <n v="25"/>
    <n v="514"/>
    <n v="31"/>
    <x v="2"/>
  </r>
  <r>
    <n v="43"/>
    <s v="Maven Toys Durango 1"/>
    <x v="2"/>
    <n v="8"/>
    <s v="Deck Of Cards"/>
    <x v="1"/>
    <n v="71"/>
    <n v="2002"/>
    <n v="22.6"/>
    <x v="2"/>
  </r>
  <r>
    <n v="43"/>
    <s v="Maven Toys Durango 1"/>
    <x v="2"/>
    <n v="9"/>
    <s v="Dino Egg"/>
    <x v="0"/>
    <n v="4"/>
    <n v="593"/>
    <n v="4.3"/>
    <x v="2"/>
  </r>
  <r>
    <n v="43"/>
    <s v="Maven Toys Durango 1"/>
    <x v="2"/>
    <n v="11"/>
    <s v="Etch A Sketch"/>
    <x v="3"/>
    <n v="3"/>
    <n v="177"/>
    <n v="10.8"/>
    <x v="2"/>
  </r>
  <r>
    <n v="43"/>
    <s v="Maven Toys Durango 1"/>
    <x v="2"/>
    <n v="12"/>
    <s v="Foam Disk Launcher"/>
    <x v="4"/>
    <n v="3"/>
    <n v="174"/>
    <n v="11"/>
    <x v="2"/>
  </r>
  <r>
    <n v="43"/>
    <s v="Maven Toys Durango 1"/>
    <x v="2"/>
    <n v="13"/>
    <s v="Gamer Headphones"/>
    <x v="2"/>
    <n v="12"/>
    <n v="544"/>
    <n v="14.1"/>
    <x v="2"/>
  </r>
  <r>
    <n v="43"/>
    <s v="Maven Toys Durango 1"/>
    <x v="2"/>
    <n v="14"/>
    <s v="Glass Marbles"/>
    <x v="1"/>
    <n v="16"/>
    <n v="425"/>
    <n v="24"/>
    <x v="2"/>
  </r>
  <r>
    <n v="43"/>
    <s v="Maven Toys Durango 1"/>
    <x v="2"/>
    <n v="15"/>
    <s v="Hot Wheels 5-Pack"/>
    <x v="0"/>
    <n v="10"/>
    <n v="349"/>
    <n v="18.3"/>
    <x v="2"/>
  </r>
  <r>
    <n v="43"/>
    <s v="Maven Toys Durango 1"/>
    <x v="2"/>
    <n v="17"/>
    <s v="Kids Makeup Kit"/>
    <x v="3"/>
    <n v="18"/>
    <n v="363"/>
    <n v="31.6"/>
    <x v="2"/>
  </r>
  <r>
    <n v="43"/>
    <s v="Maven Toys Durango 1"/>
    <x v="2"/>
    <n v="18"/>
    <s v="Lego Bricks"/>
    <x v="0"/>
    <n v="16"/>
    <n v="760"/>
    <n v="13.4"/>
    <x v="2"/>
  </r>
  <r>
    <n v="43"/>
    <s v="Maven Toys Durango 1"/>
    <x v="2"/>
    <n v="19"/>
    <s v="Magic Sand"/>
    <x v="3"/>
    <n v="17"/>
    <n v="1094"/>
    <n v="9.9"/>
    <x v="2"/>
  </r>
  <r>
    <n v="42"/>
    <s v="Maven Toys Hermosillo 3"/>
    <x v="1"/>
    <n v="17"/>
    <s v="Kids Makeup Kit"/>
    <x v="3"/>
    <n v="11"/>
    <n v="682"/>
    <n v="10.3"/>
    <x v="2"/>
  </r>
  <r>
    <n v="42"/>
    <s v="Maven Toys Hermosillo 3"/>
    <x v="1"/>
    <n v="18"/>
    <s v="Lego Bricks"/>
    <x v="0"/>
    <n v="21"/>
    <n v="1962"/>
    <n v="6.8"/>
    <x v="2"/>
  </r>
  <r>
    <n v="42"/>
    <s v="Maven Toys Hermosillo 3"/>
    <x v="1"/>
    <n v="19"/>
    <s v="Magic Sand"/>
    <x v="3"/>
    <n v="44"/>
    <n v="2127"/>
    <n v="13.2"/>
    <x v="2"/>
  </r>
  <r>
    <n v="41"/>
    <s v="Maven Toys Hermosillo 2"/>
    <x v="2"/>
    <n v="33"/>
    <s v="Teddy Bear"/>
    <x v="0"/>
    <n v="13"/>
    <n v="330"/>
    <n v="25.1"/>
    <x v="2"/>
  </r>
  <r>
    <n v="42"/>
    <s v="Maven Toys Hermosillo 3"/>
    <x v="1"/>
    <n v="25"/>
    <s v="PlayDoh Can"/>
    <x v="3"/>
    <n v="46"/>
    <n v="2211"/>
    <n v="13.3"/>
    <x v="2"/>
  </r>
  <r>
    <n v="39"/>
    <s v="Maven Toys Xalapa 2"/>
    <x v="2"/>
    <n v="14"/>
    <s v="Glass Marbles"/>
    <x v="1"/>
    <n v="12"/>
    <n v="804"/>
    <n v="9.5"/>
    <x v="2"/>
  </r>
  <r>
    <n v="42"/>
    <s v="Maven Toys Hermosillo 3"/>
    <x v="1"/>
    <n v="27"/>
    <s v="PlayDoh Toolkit"/>
    <x v="3"/>
    <n v="23"/>
    <n v="450"/>
    <n v="32.6"/>
    <x v="2"/>
  </r>
  <r>
    <n v="42"/>
    <s v="Maven Toys Hermosillo 3"/>
    <x v="1"/>
    <n v="30"/>
    <s v="Rubik's Cube"/>
    <x v="1"/>
    <n v="9"/>
    <n v="1051"/>
    <n v="5.5"/>
    <x v="2"/>
  </r>
  <r>
    <n v="42"/>
    <s v="Maven Toys Hermosillo 3"/>
    <x v="1"/>
    <n v="31"/>
    <s v="Splash Balls"/>
    <x v="4"/>
    <n v="11"/>
    <n v="689"/>
    <n v="10.199999999999999"/>
    <x v="2"/>
  </r>
  <r>
    <n v="41"/>
    <s v="Maven Toys Hermosillo 2"/>
    <x v="2"/>
    <n v="31"/>
    <s v="Splash Balls"/>
    <x v="4"/>
    <n v="18"/>
    <n v="1494"/>
    <n v="7.7"/>
    <x v="2"/>
  </r>
  <r>
    <n v="41"/>
    <s v="Maven Toys Hermosillo 2"/>
    <x v="2"/>
    <n v="35"/>
    <s v="Uno Card Game"/>
    <x v="1"/>
    <n v="10"/>
    <n v="202"/>
    <n v="31.5"/>
    <x v="2"/>
  </r>
  <r>
    <n v="42"/>
    <s v="Maven Toys Hermosillo 3"/>
    <x v="1"/>
    <n v="1"/>
    <s v="Action Figure"/>
    <x v="0"/>
    <n v="8"/>
    <n v="605"/>
    <n v="8.4"/>
    <x v="2"/>
  </r>
  <r>
    <n v="42"/>
    <s v="Maven Toys Hermosillo 3"/>
    <x v="1"/>
    <n v="2"/>
    <s v="Animal Figures"/>
    <x v="0"/>
    <n v="10"/>
    <n v="476"/>
    <n v="13.4"/>
    <x v="2"/>
  </r>
  <r>
    <n v="42"/>
    <s v="Maven Toys Hermosillo 3"/>
    <x v="1"/>
    <n v="3"/>
    <s v="Barrel O' Slime"/>
    <x v="3"/>
    <n v="32"/>
    <n v="945"/>
    <n v="21.6"/>
    <x v="2"/>
  </r>
  <r>
    <n v="42"/>
    <s v="Maven Toys Hermosillo 3"/>
    <x v="1"/>
    <n v="6"/>
    <s v="Colorbuds"/>
    <x v="2"/>
    <n v="29"/>
    <n v="4774"/>
    <n v="3.9"/>
    <x v="2"/>
  </r>
  <r>
    <n v="42"/>
    <s v="Maven Toys Hermosillo 3"/>
    <x v="1"/>
    <n v="7"/>
    <s v="Dart Gun"/>
    <x v="4"/>
    <n v="7"/>
    <n v="370"/>
    <n v="12.1"/>
    <x v="2"/>
  </r>
  <r>
    <n v="42"/>
    <s v="Maven Toys Hermosillo 3"/>
    <x v="1"/>
    <n v="8"/>
    <s v="Deck Of Cards"/>
    <x v="1"/>
    <n v="54"/>
    <n v="2027"/>
    <n v="17"/>
    <x v="2"/>
  </r>
  <r>
    <n v="42"/>
    <s v="Maven Toys Hermosillo 3"/>
    <x v="1"/>
    <n v="9"/>
    <s v="Dino Egg"/>
    <x v="0"/>
    <n v="30"/>
    <n v="868"/>
    <n v="22"/>
    <x v="2"/>
  </r>
  <r>
    <n v="42"/>
    <s v="Maven Toys Hermosillo 3"/>
    <x v="1"/>
    <n v="12"/>
    <s v="Foam Disk Launcher"/>
    <x v="4"/>
    <n v="10"/>
    <n v="229"/>
    <n v="27.8"/>
    <x v="2"/>
  </r>
  <r>
    <n v="42"/>
    <s v="Maven Toys Hermosillo 3"/>
    <x v="1"/>
    <n v="13"/>
    <s v="Gamer Headphones"/>
    <x v="2"/>
    <n v="7"/>
    <n v="374"/>
    <n v="11.9"/>
    <x v="2"/>
  </r>
  <r>
    <n v="42"/>
    <s v="Maven Toys Hermosillo 3"/>
    <x v="1"/>
    <n v="14"/>
    <s v="Glass Marbles"/>
    <x v="1"/>
    <n v="13"/>
    <n v="482"/>
    <n v="17.2"/>
    <x v="2"/>
  </r>
  <r>
    <n v="42"/>
    <s v="Maven Toys Hermosillo 3"/>
    <x v="1"/>
    <n v="15"/>
    <s v="Hot Wheels 5-Pack"/>
    <x v="0"/>
    <n v="3"/>
    <n v="271"/>
    <n v="7.1"/>
    <x v="2"/>
  </r>
  <r>
    <n v="42"/>
    <s v="Maven Toys Hermosillo 3"/>
    <x v="1"/>
    <n v="10"/>
    <s v="Dinosaur Figures"/>
    <x v="0"/>
    <n v="39"/>
    <n v="194"/>
    <n v="128.1"/>
    <x v="3"/>
  </r>
  <r>
    <n v="42"/>
    <s v="Maven Toys Hermosillo 3"/>
    <x v="1"/>
    <n v="11"/>
    <s v="Etch A Sketch"/>
    <x v="3"/>
    <n v="20"/>
    <n v="172"/>
    <n v="74.099999999999994"/>
    <x v="3"/>
  </r>
  <r>
    <n v="42"/>
    <s v="Maven Toys Hermosillo 3"/>
    <x v="1"/>
    <n v="4"/>
    <s v="Chutes &amp; Ladders"/>
    <x v="1"/>
    <n v="11"/>
    <n v="121"/>
    <n v="57.9"/>
    <x v="3"/>
  </r>
  <r>
    <n v="42"/>
    <s v="Maven Toys Hermosillo 3"/>
    <x v="1"/>
    <n v="5"/>
    <s v="Classic Dominoes"/>
    <x v="1"/>
    <n v="12"/>
    <n v="79"/>
    <n v="96.8"/>
    <x v="3"/>
  </r>
  <r>
    <n v="41"/>
    <s v="Maven Toys Hermosillo 2"/>
    <x v="2"/>
    <n v="32"/>
    <s v="Supersoaker Water Gun"/>
    <x v="4"/>
    <n v="29"/>
    <n v="257"/>
    <n v="71.900000000000006"/>
    <x v="3"/>
  </r>
  <r>
    <n v="41"/>
    <s v="Maven Toys Hermosillo 2"/>
    <x v="2"/>
    <n v="30"/>
    <s v="Rubik's Cube"/>
    <x v="1"/>
    <n v="74"/>
    <n v="769"/>
    <n v="61.3"/>
    <x v="3"/>
  </r>
  <r>
    <n v="42"/>
    <s v="Maven Toys Hermosillo 3"/>
    <x v="1"/>
    <n v="32"/>
    <s v="Supersoaker Water Gun"/>
    <x v="4"/>
    <n v="4"/>
    <n v="69"/>
    <n v="36.9"/>
    <x v="3"/>
  </r>
  <r>
    <n v="42"/>
    <s v="Maven Toys Hermosillo 3"/>
    <x v="1"/>
    <n v="26"/>
    <s v="PlayDoh Playset"/>
    <x v="3"/>
    <n v="18"/>
    <n v="194"/>
    <n v="59.1"/>
    <x v="3"/>
  </r>
  <r>
    <n v="41"/>
    <s v="Maven Toys Hermosillo 2"/>
    <x v="2"/>
    <n v="34"/>
    <s v="Toy Robot"/>
    <x v="2"/>
    <n v="15"/>
    <n v="256"/>
    <n v="37.299999999999997"/>
    <x v="3"/>
  </r>
  <r>
    <n v="42"/>
    <s v="Maven Toys Hermosillo 3"/>
    <x v="1"/>
    <n v="22"/>
    <s v="Monopoly"/>
    <x v="1"/>
    <n v="7"/>
    <n v="106"/>
    <n v="42.1"/>
    <x v="3"/>
  </r>
  <r>
    <n v="42"/>
    <s v="Maven Toys Hermosillo 3"/>
    <x v="1"/>
    <n v="23"/>
    <s v="Mr. Potatohead"/>
    <x v="0"/>
    <n v="31"/>
    <n v="118"/>
    <n v="167.3"/>
    <x v="3"/>
  </r>
  <r>
    <n v="42"/>
    <s v="Maven Toys Hermosillo 3"/>
    <x v="1"/>
    <n v="24"/>
    <s v="Nerf Gun"/>
    <x v="4"/>
    <n v="69"/>
    <n v="375"/>
    <n v="117.2"/>
    <x v="3"/>
  </r>
  <r>
    <n v="42"/>
    <s v="Maven Toys Hermosillo 3"/>
    <x v="1"/>
    <n v="20"/>
    <s v="Mini Basketball Hoop"/>
    <x v="4"/>
    <n v="8"/>
    <n v="117"/>
    <n v="43.6"/>
    <x v="3"/>
  </r>
  <r>
    <n v="43"/>
    <s v="Maven Toys Durango 1"/>
    <x v="2"/>
    <n v="21"/>
    <s v="Mini Ping Pong Set"/>
    <x v="4"/>
    <n v="9"/>
    <n v="131"/>
    <n v="43.8"/>
    <x v="3"/>
  </r>
  <r>
    <n v="43"/>
    <s v="Maven Toys Durango 1"/>
    <x v="2"/>
    <n v="10"/>
    <s v="Dinosaur Figures"/>
    <x v="0"/>
    <n v="49"/>
    <n v="317"/>
    <n v="98.5"/>
    <x v="3"/>
  </r>
  <r>
    <n v="43"/>
    <s v="Maven Toys Durango 1"/>
    <x v="2"/>
    <n v="27"/>
    <s v="PlayDoh Toolkit"/>
    <x v="3"/>
    <n v="29"/>
    <n v="385"/>
    <n v="48"/>
    <x v="3"/>
  </r>
  <r>
    <n v="43"/>
    <s v="Maven Toys Durango 1"/>
    <x v="2"/>
    <n v="28"/>
    <s v="Playfoam"/>
    <x v="3"/>
    <n v="4"/>
    <n v="35"/>
    <n v="72.8"/>
    <x v="3"/>
  </r>
  <r>
    <n v="43"/>
    <s v="Maven Toys Durango 1"/>
    <x v="2"/>
    <n v="29"/>
    <s v="Plush Pony"/>
    <x v="0"/>
    <n v="9"/>
    <n v="59"/>
    <n v="97.2"/>
    <x v="3"/>
  </r>
  <r>
    <n v="42"/>
    <s v="Maven Toys Hermosillo 3"/>
    <x v="1"/>
    <n v="29"/>
    <s v="Plush Pony"/>
    <x v="0"/>
    <n v="35"/>
    <n v="153"/>
    <n v="145.69999999999999"/>
    <x v="3"/>
  </r>
  <r>
    <n v="42"/>
    <s v="Maven Toys Hermosillo 3"/>
    <x v="1"/>
    <n v="34"/>
    <s v="Toy Robot"/>
    <x v="2"/>
    <n v="34"/>
    <n v="205"/>
    <n v="105.6"/>
    <x v="3"/>
  </r>
  <r>
    <n v="42"/>
    <s v="Maven Toys Hermosillo 3"/>
    <x v="1"/>
    <n v="35"/>
    <s v="Uno Card Game"/>
    <x v="1"/>
    <n v="13"/>
    <n v="72"/>
    <n v="115"/>
    <x v="3"/>
  </r>
  <r>
    <n v="43"/>
    <s v="Maven Toys Durango 1"/>
    <x v="2"/>
    <n v="32"/>
    <s v="Supersoaker Water Gun"/>
    <x v="4"/>
    <n v="38"/>
    <n v="151"/>
    <n v="160.30000000000001"/>
    <x v="3"/>
  </r>
  <r>
    <n v="44"/>
    <s v="Maven Toys Puebla 3"/>
    <x v="0"/>
    <n v="32"/>
    <s v="Supersoaker Water Gun"/>
    <x v="4"/>
    <n v="29"/>
    <n v="121"/>
    <n v="152.69999999999999"/>
    <x v="3"/>
  </r>
  <r>
    <n v="44"/>
    <s v="Maven Toys Puebla 3"/>
    <x v="0"/>
    <n v="18"/>
    <s v="Lego Bricks"/>
    <x v="0"/>
    <n v="117"/>
    <n v="1537"/>
    <n v="48.5"/>
    <x v="3"/>
  </r>
  <r>
    <n v="45"/>
    <s v="Maven Toys Ciudad de Mexico 4"/>
    <x v="1"/>
    <n v="19"/>
    <s v="Magic Sand"/>
    <x v="3"/>
    <n v="75"/>
    <n v="900"/>
    <n v="53.1"/>
    <x v="3"/>
  </r>
  <r>
    <n v="45"/>
    <s v="Maven Toys Ciudad de Mexico 4"/>
    <x v="1"/>
    <n v="11"/>
    <s v="Etch A Sketch"/>
    <x v="3"/>
    <n v="10"/>
    <n v="158"/>
    <n v="40.299999999999997"/>
    <x v="3"/>
  </r>
  <r>
    <n v="45"/>
    <s v="Maven Toys Ciudad de Mexico 4"/>
    <x v="1"/>
    <n v="12"/>
    <s v="Foam Disk Launcher"/>
    <x v="4"/>
    <n v="8"/>
    <n v="67"/>
    <n v="76.099999999999994"/>
    <x v="3"/>
  </r>
  <r>
    <n v="45"/>
    <s v="Maven Toys Ciudad de Mexico 4"/>
    <x v="1"/>
    <n v="13"/>
    <s v="Gamer Headphones"/>
    <x v="2"/>
    <n v="15"/>
    <n v="174"/>
    <n v="54.9"/>
    <x v="3"/>
  </r>
  <r>
    <n v="45"/>
    <s v="Maven Toys Ciudad de Mexico 4"/>
    <x v="1"/>
    <n v="26"/>
    <s v="PlayDoh Playset"/>
    <x v="3"/>
    <n v="14"/>
    <n v="171"/>
    <n v="52.2"/>
    <x v="3"/>
  </r>
  <r>
    <n v="45"/>
    <s v="Maven Toys Ciudad de Mexico 4"/>
    <x v="1"/>
    <n v="33"/>
    <s v="Teddy Bear"/>
    <x v="0"/>
    <n v="7"/>
    <n v="32"/>
    <n v="139.30000000000001"/>
    <x v="3"/>
  </r>
  <r>
    <n v="47"/>
    <s v="Maven Toys Monterrey 4"/>
    <x v="1"/>
    <n v="13"/>
    <s v="Gamer Headphones"/>
    <x v="2"/>
    <n v="15"/>
    <n v="251"/>
    <n v="38.1"/>
    <x v="3"/>
  </r>
  <r>
    <n v="47"/>
    <s v="Maven Toys Monterrey 4"/>
    <x v="1"/>
    <n v="3"/>
    <s v="Barrel O' Slime"/>
    <x v="3"/>
    <n v="74"/>
    <n v="785"/>
    <n v="60"/>
    <x v="3"/>
  </r>
  <r>
    <n v="46"/>
    <s v="Maven Toys Guadalajara 4"/>
    <x v="2"/>
    <n v="34"/>
    <s v="Toy Robot"/>
    <x v="2"/>
    <n v="24"/>
    <n v="254"/>
    <n v="60.2"/>
    <x v="3"/>
  </r>
  <r>
    <n v="46"/>
    <s v="Maven Toys Guadalajara 4"/>
    <x v="2"/>
    <n v="32"/>
    <s v="Supersoaker Water Gun"/>
    <x v="4"/>
    <n v="8"/>
    <n v="107"/>
    <n v="47.6"/>
    <x v="3"/>
  </r>
  <r>
    <n v="46"/>
    <s v="Maven Toys Guadalajara 4"/>
    <x v="2"/>
    <n v="27"/>
    <s v="PlayDoh Toolkit"/>
    <x v="3"/>
    <n v="25"/>
    <n v="445"/>
    <n v="35.799999999999997"/>
    <x v="3"/>
  </r>
  <r>
    <n v="46"/>
    <s v="Maven Toys Guadalajara 4"/>
    <x v="2"/>
    <n v="23"/>
    <s v="Mr. Potatohead"/>
    <x v="0"/>
    <n v="23"/>
    <n v="220"/>
    <n v="66.599999999999994"/>
    <x v="3"/>
  </r>
  <r>
    <n v="46"/>
    <s v="Maven Toys Guadalajara 4"/>
    <x v="2"/>
    <n v="19"/>
    <s v="Magic Sand"/>
    <x v="3"/>
    <n v="58"/>
    <n v="594"/>
    <n v="62.2"/>
    <x v="3"/>
  </r>
  <r>
    <n v="46"/>
    <s v="Maven Toys Guadalajara 4"/>
    <x v="2"/>
    <n v="17"/>
    <s v="Kids Makeup Kit"/>
    <x v="3"/>
    <n v="40"/>
    <n v="351"/>
    <n v="72.599999999999994"/>
    <x v="3"/>
  </r>
  <r>
    <n v="46"/>
    <s v="Maven Toys Guadalajara 4"/>
    <x v="2"/>
    <n v="8"/>
    <s v="Deck Of Cards"/>
    <x v="1"/>
    <n v="74"/>
    <n v="744"/>
    <n v="63.4"/>
    <x v="3"/>
  </r>
  <r>
    <n v="46"/>
    <s v="Maven Toys Guadalajara 4"/>
    <x v="2"/>
    <n v="10"/>
    <s v="Dinosaur Figures"/>
    <x v="0"/>
    <n v="71"/>
    <n v="1142"/>
    <n v="39.6"/>
    <x v="3"/>
  </r>
  <r>
    <n v="48"/>
    <s v="Maven Toys Saltillo 2"/>
    <x v="1"/>
    <n v="19"/>
    <s v="Magic Sand"/>
    <x v="3"/>
    <n v="59"/>
    <n v="1054"/>
    <n v="35.700000000000003"/>
    <x v="3"/>
  </r>
  <r>
    <n v="48"/>
    <s v="Maven Toys Saltillo 2"/>
    <x v="1"/>
    <n v="20"/>
    <s v="Mini Basketball Hoop"/>
    <x v="4"/>
    <n v="10"/>
    <n v="101"/>
    <n v="63.1"/>
    <x v="3"/>
  </r>
  <r>
    <n v="48"/>
    <s v="Maven Toys Saltillo 2"/>
    <x v="1"/>
    <n v="21"/>
    <s v="Mini Ping Pong Set"/>
    <x v="4"/>
    <n v="8"/>
    <n v="111"/>
    <n v="45.9"/>
    <x v="3"/>
  </r>
  <r>
    <n v="48"/>
    <s v="Maven Toys Saltillo 2"/>
    <x v="1"/>
    <n v="10"/>
    <s v="Dinosaur Figures"/>
    <x v="0"/>
    <n v="52"/>
    <n v="418"/>
    <n v="79.2"/>
    <x v="3"/>
  </r>
  <r>
    <n v="48"/>
    <s v="Maven Toys Saltillo 2"/>
    <x v="1"/>
    <n v="11"/>
    <s v="Etch A Sketch"/>
    <x v="3"/>
    <n v="6"/>
    <n v="102"/>
    <n v="37.5"/>
    <x v="3"/>
  </r>
  <r>
    <n v="47"/>
    <s v="Maven Toys Monterrey 4"/>
    <x v="1"/>
    <n v="33"/>
    <s v="Teddy Bear"/>
    <x v="0"/>
    <n v="13"/>
    <n v="179"/>
    <n v="46.3"/>
    <x v="3"/>
  </r>
  <r>
    <n v="48"/>
    <s v="Maven Toys Saltillo 2"/>
    <x v="1"/>
    <n v="8"/>
    <s v="Deck Of Cards"/>
    <x v="1"/>
    <n v="100"/>
    <n v="1148"/>
    <n v="55.5"/>
    <x v="3"/>
  </r>
  <r>
    <n v="48"/>
    <s v="Maven Toys Saltillo 2"/>
    <x v="1"/>
    <n v="3"/>
    <s v="Barrel O' Slime"/>
    <x v="3"/>
    <n v="35"/>
    <n v="578"/>
    <n v="38.6"/>
    <x v="3"/>
  </r>
  <r>
    <n v="48"/>
    <s v="Maven Toys Saltillo 2"/>
    <x v="1"/>
    <n v="4"/>
    <s v="Chutes &amp; Ladders"/>
    <x v="1"/>
    <n v="15"/>
    <n v="151"/>
    <n v="63.3"/>
    <x v="3"/>
  </r>
  <r>
    <n v="47"/>
    <s v="Maven Toys Monterrey 4"/>
    <x v="1"/>
    <n v="29"/>
    <s v="Plush Pony"/>
    <x v="0"/>
    <n v="10"/>
    <n v="177"/>
    <n v="36"/>
    <x v="3"/>
  </r>
  <r>
    <n v="47"/>
    <s v="Maven Toys Monterrey 4"/>
    <x v="1"/>
    <n v="30"/>
    <s v="Rubik's Cube"/>
    <x v="1"/>
    <n v="36"/>
    <n v="500"/>
    <n v="45.9"/>
    <x v="3"/>
  </r>
  <r>
    <n v="47"/>
    <s v="Maven Toys Monterrey 4"/>
    <x v="1"/>
    <n v="8"/>
    <s v="Deck Of Cards"/>
    <x v="1"/>
    <n v="70"/>
    <n v="817"/>
    <n v="54.6"/>
    <x v="3"/>
  </r>
  <r>
    <n v="47"/>
    <s v="Maven Toys Monterrey 4"/>
    <x v="1"/>
    <n v="26"/>
    <s v="PlayDoh Playset"/>
    <x v="3"/>
    <n v="23"/>
    <n v="162"/>
    <n v="90.4"/>
    <x v="3"/>
  </r>
  <r>
    <n v="47"/>
    <s v="Maven Toys Monterrey 4"/>
    <x v="1"/>
    <n v="27"/>
    <s v="PlayDoh Toolkit"/>
    <x v="3"/>
    <n v="36"/>
    <n v="399"/>
    <n v="57.5"/>
    <x v="3"/>
  </r>
  <r>
    <n v="48"/>
    <s v="Maven Toys Saltillo 2"/>
    <x v="1"/>
    <n v="27"/>
    <s v="PlayDoh Toolkit"/>
    <x v="3"/>
    <n v="17"/>
    <n v="208"/>
    <n v="52.1"/>
    <x v="3"/>
  </r>
  <r>
    <n v="48"/>
    <s v="Maven Toys Saltillo 2"/>
    <x v="1"/>
    <n v="24"/>
    <s v="Nerf Gun"/>
    <x v="4"/>
    <n v="40"/>
    <n v="320"/>
    <n v="79.599999999999994"/>
    <x v="3"/>
  </r>
  <r>
    <n v="48"/>
    <s v="Maven Toys Saltillo 2"/>
    <x v="1"/>
    <n v="13"/>
    <s v="Gamer Headphones"/>
    <x v="2"/>
    <n v="56"/>
    <n v="319"/>
    <n v="111.8"/>
    <x v="3"/>
  </r>
  <r>
    <n v="47"/>
    <s v="Maven Toys Monterrey 4"/>
    <x v="1"/>
    <n v="23"/>
    <s v="Mr. Potatohead"/>
    <x v="0"/>
    <n v="29"/>
    <n v="252"/>
    <n v="73.3"/>
    <x v="3"/>
  </r>
  <r>
    <n v="48"/>
    <s v="Maven Toys Saltillo 2"/>
    <x v="1"/>
    <n v="30"/>
    <s v="Rubik's Cube"/>
    <x v="1"/>
    <n v="49"/>
    <n v="689"/>
    <n v="45.3"/>
    <x v="3"/>
  </r>
  <r>
    <n v="48"/>
    <s v="Maven Toys Saltillo 2"/>
    <x v="1"/>
    <n v="34"/>
    <s v="Toy Robot"/>
    <x v="2"/>
    <n v="39"/>
    <n v="268"/>
    <n v="92.7"/>
    <x v="3"/>
  </r>
  <r>
    <n v="49"/>
    <s v="Maven Toys Culiacan 1"/>
    <x v="2"/>
    <n v="10"/>
    <s v="Dinosaur Figures"/>
    <x v="0"/>
    <n v="36"/>
    <n v="387"/>
    <n v="59.3"/>
    <x v="3"/>
  </r>
  <r>
    <n v="49"/>
    <s v="Maven Toys Culiacan 1"/>
    <x v="2"/>
    <n v="8"/>
    <s v="Deck Of Cards"/>
    <x v="1"/>
    <n v="77"/>
    <n v="785"/>
    <n v="62.5"/>
    <x v="3"/>
  </r>
  <r>
    <n v="49"/>
    <s v="Maven Toys Culiacan 1"/>
    <x v="2"/>
    <n v="4"/>
    <s v="Chutes &amp; Ladders"/>
    <x v="1"/>
    <n v="19"/>
    <n v="129"/>
    <n v="93.8"/>
    <x v="3"/>
  </r>
  <r>
    <n v="49"/>
    <s v="Maven Toys Culiacan 1"/>
    <x v="2"/>
    <n v="5"/>
    <s v="Classic Dominoes"/>
    <x v="1"/>
    <n v="13"/>
    <n v="79"/>
    <n v="104.8"/>
    <x v="3"/>
  </r>
  <r>
    <n v="49"/>
    <s v="Maven Toys Culiacan 1"/>
    <x v="2"/>
    <n v="20"/>
    <s v="Mini Basketball Hoop"/>
    <x v="4"/>
    <n v="13"/>
    <n v="104"/>
    <n v="79.599999999999994"/>
    <x v="3"/>
  </r>
  <r>
    <n v="49"/>
    <s v="Maven Toys Culiacan 1"/>
    <x v="2"/>
    <n v="21"/>
    <s v="Mini Ping Pong Set"/>
    <x v="4"/>
    <n v="37"/>
    <n v="401"/>
    <n v="58.8"/>
    <x v="3"/>
  </r>
  <r>
    <n v="49"/>
    <s v="Maven Toys Culiacan 1"/>
    <x v="2"/>
    <n v="22"/>
    <s v="Monopoly"/>
    <x v="1"/>
    <n v="8"/>
    <n v="110"/>
    <n v="46.3"/>
    <x v="3"/>
  </r>
  <r>
    <n v="49"/>
    <s v="Maven Toys Culiacan 1"/>
    <x v="2"/>
    <n v="23"/>
    <s v="Mr. Potatohead"/>
    <x v="0"/>
    <n v="18"/>
    <n v="157"/>
    <n v="73"/>
    <x v="3"/>
  </r>
  <r>
    <n v="50"/>
    <s v="Maven Toys Guanajuato 3"/>
    <x v="0"/>
    <n v="2"/>
    <s v="Animal Figures"/>
    <x v="0"/>
    <n v="49"/>
    <n v="628"/>
    <n v="49.7"/>
    <x v="3"/>
  </r>
  <r>
    <n v="49"/>
    <s v="Maven Toys Culiacan 1"/>
    <x v="2"/>
    <n v="35"/>
    <s v="Uno Card Game"/>
    <x v="1"/>
    <n v="19"/>
    <n v="122"/>
    <n v="99.2"/>
    <x v="3"/>
  </r>
  <r>
    <n v="49"/>
    <s v="Maven Toys Culiacan 1"/>
    <x v="2"/>
    <n v="32"/>
    <s v="Supersoaker Water Gun"/>
    <x v="4"/>
    <n v="11"/>
    <n v="103"/>
    <n v="68"/>
    <x v="3"/>
  </r>
  <r>
    <n v="49"/>
    <s v="Maven Toys Culiacan 1"/>
    <x v="2"/>
    <n v="33"/>
    <s v="Teddy Bear"/>
    <x v="0"/>
    <n v="15"/>
    <n v="92"/>
    <n v="103.9"/>
    <x v="3"/>
  </r>
  <r>
    <n v="49"/>
    <s v="Maven Toys Culiacan 1"/>
    <x v="2"/>
    <n v="26"/>
    <s v="PlayDoh Playset"/>
    <x v="3"/>
    <n v="19"/>
    <n v="139"/>
    <n v="87.1"/>
    <x v="3"/>
  </r>
  <r>
    <n v="49"/>
    <s v="Maven Toys Culiacan 1"/>
    <x v="2"/>
    <n v="27"/>
    <s v="PlayDoh Toolkit"/>
    <x v="3"/>
    <n v="32"/>
    <n v="435"/>
    <n v="46.9"/>
    <x v="3"/>
  </r>
  <r>
    <n v="49"/>
    <s v="Maven Toys Culiacan 1"/>
    <x v="2"/>
    <n v="28"/>
    <s v="Playfoam"/>
    <x v="3"/>
    <n v="10"/>
    <n v="84"/>
    <n v="75.8"/>
    <x v="3"/>
  </r>
  <r>
    <n v="49"/>
    <s v="Maven Toys Culiacan 1"/>
    <x v="2"/>
    <n v="29"/>
    <s v="Plush Pony"/>
    <x v="0"/>
    <n v="12"/>
    <n v="134"/>
    <n v="57"/>
    <x v="3"/>
  </r>
  <r>
    <n v="49"/>
    <s v="Maven Toys Culiacan 1"/>
    <x v="2"/>
    <n v="14"/>
    <s v="Glass Marbles"/>
    <x v="1"/>
    <n v="37"/>
    <n v="552"/>
    <n v="42.7"/>
    <x v="3"/>
  </r>
  <r>
    <n v="49"/>
    <s v="Maven Toys Culiacan 1"/>
    <x v="2"/>
    <n v="12"/>
    <s v="Foam Disk Launcher"/>
    <x v="4"/>
    <n v="14"/>
    <n v="106"/>
    <n v="84.1"/>
    <x v="3"/>
  </r>
  <r>
    <n v="50"/>
    <s v="Maven Toys Guanajuato 3"/>
    <x v="0"/>
    <n v="26"/>
    <s v="PlayDoh Playset"/>
    <x v="3"/>
    <n v="9"/>
    <n v="67"/>
    <n v="85.6"/>
    <x v="3"/>
  </r>
  <r>
    <n v="50"/>
    <s v="Maven Toys Guanajuato 3"/>
    <x v="0"/>
    <n v="23"/>
    <s v="Mr. Potatohead"/>
    <x v="0"/>
    <n v="23"/>
    <n v="377"/>
    <n v="38.9"/>
    <x v="3"/>
  </r>
  <r>
    <n v="50"/>
    <s v="Maven Toys Guanajuato 3"/>
    <x v="0"/>
    <n v="20"/>
    <s v="Mini Basketball Hoop"/>
    <x v="4"/>
    <n v="17"/>
    <n v="114"/>
    <n v="95"/>
    <x v="3"/>
  </r>
  <r>
    <n v="50"/>
    <s v="Maven Toys Guanajuato 3"/>
    <x v="0"/>
    <n v="21"/>
    <s v="Mini Ping Pong Set"/>
    <x v="4"/>
    <n v="36"/>
    <n v="235"/>
    <n v="97.6"/>
    <x v="3"/>
  </r>
  <r>
    <n v="50"/>
    <s v="Maven Toys Guanajuato 3"/>
    <x v="0"/>
    <n v="10"/>
    <s v="Dinosaur Figures"/>
    <x v="0"/>
    <n v="34"/>
    <n v="443"/>
    <n v="48.9"/>
    <x v="3"/>
  </r>
  <r>
    <n v="50"/>
    <s v="Maven Toys Guanajuato 3"/>
    <x v="0"/>
    <n v="11"/>
    <s v="Etch A Sketch"/>
    <x v="3"/>
    <n v="20"/>
    <n v="259"/>
    <n v="49.2"/>
    <x v="3"/>
  </r>
  <r>
    <n v="50"/>
    <s v="Maven Toys Guanajuato 3"/>
    <x v="0"/>
    <n v="4"/>
    <s v="Chutes &amp; Ladders"/>
    <x v="1"/>
    <n v="16"/>
    <n v="210"/>
    <n v="48.5"/>
    <x v="3"/>
  </r>
  <r>
    <n v="50"/>
    <s v="Maven Toys Guanajuato 3"/>
    <x v="0"/>
    <n v="13"/>
    <s v="Gamer Headphones"/>
    <x v="2"/>
    <n v="15"/>
    <n v="208"/>
    <n v="45.9"/>
    <x v="3"/>
  </r>
  <r>
    <n v="50"/>
    <s v="Maven Toys Guanajuato 3"/>
    <x v="0"/>
    <n v="14"/>
    <s v="Glass Marbles"/>
    <x v="1"/>
    <n v="32"/>
    <n v="450"/>
    <n v="45.3"/>
    <x v="3"/>
  </r>
  <r>
    <n v="50"/>
    <s v="Maven Toys Guanajuato 3"/>
    <x v="0"/>
    <n v="34"/>
    <s v="Toy Robot"/>
    <x v="2"/>
    <n v="17"/>
    <n v="159"/>
    <n v="68.099999999999994"/>
    <x v="3"/>
  </r>
  <r>
    <n v="50"/>
    <s v="Maven Toys Guanajuato 3"/>
    <x v="0"/>
    <n v="35"/>
    <s v="Uno Card Game"/>
    <x v="1"/>
    <n v="8"/>
    <n v="115"/>
    <n v="44.3"/>
    <x v="3"/>
  </r>
  <r>
    <n v="50"/>
    <s v="Maven Toys Guanajuato 3"/>
    <x v="0"/>
    <n v="29"/>
    <s v="Plush Pony"/>
    <x v="0"/>
    <n v="15"/>
    <n v="129"/>
    <n v="74.099999999999994"/>
    <x v="3"/>
  </r>
  <r>
    <n v="32"/>
    <s v="Maven Toys Hermosillo 1"/>
    <x v="0"/>
    <n v="18"/>
    <s v="Lego Bricks"/>
    <x v="0"/>
    <n v="40"/>
    <n v="282"/>
    <n v="90.4"/>
    <x v="3"/>
  </r>
  <r>
    <n v="32"/>
    <s v="Maven Toys Hermosillo 1"/>
    <x v="0"/>
    <n v="19"/>
    <s v="Magic Sand"/>
    <x v="3"/>
    <n v="35"/>
    <n v="536"/>
    <n v="41.6"/>
    <x v="3"/>
  </r>
  <r>
    <n v="32"/>
    <s v="Maven Toys Hermosillo 1"/>
    <x v="0"/>
    <n v="10"/>
    <s v="Dinosaur Figures"/>
    <x v="0"/>
    <n v="138"/>
    <n v="803"/>
    <n v="109.5"/>
    <x v="3"/>
  </r>
  <r>
    <n v="33"/>
    <s v="Maven Toys Monterrey 3"/>
    <x v="3"/>
    <n v="12"/>
    <s v="Foam Disk Launcher"/>
    <x v="4"/>
    <n v="17"/>
    <n v="186"/>
    <n v="58.2"/>
    <x v="3"/>
  </r>
  <r>
    <n v="32"/>
    <s v="Maven Toys Hermosillo 1"/>
    <x v="0"/>
    <n v="32"/>
    <s v="Supersoaker Water Gun"/>
    <x v="4"/>
    <n v="8"/>
    <n v="101"/>
    <n v="50.5"/>
    <x v="3"/>
  </r>
  <r>
    <n v="32"/>
    <s v="Maven Toys Hermosillo 1"/>
    <x v="0"/>
    <n v="33"/>
    <s v="Teddy Bear"/>
    <x v="0"/>
    <n v="13"/>
    <n v="65"/>
    <n v="127.4"/>
    <x v="3"/>
  </r>
  <r>
    <n v="32"/>
    <s v="Maven Toys Hermosillo 1"/>
    <x v="0"/>
    <n v="23"/>
    <s v="Mr. Potatohead"/>
    <x v="0"/>
    <n v="23"/>
    <n v="158"/>
    <n v="92.7"/>
    <x v="3"/>
  </r>
  <r>
    <n v="32"/>
    <s v="Maven Toys Hermosillo 1"/>
    <x v="0"/>
    <n v="24"/>
    <s v="Nerf Gun"/>
    <x v="4"/>
    <n v="42"/>
    <n v="369"/>
    <n v="72.5"/>
    <x v="3"/>
  </r>
  <r>
    <n v="33"/>
    <s v="Maven Toys Monterrey 3"/>
    <x v="3"/>
    <n v="4"/>
    <s v="Chutes &amp; Ladders"/>
    <x v="1"/>
    <n v="15"/>
    <n v="193"/>
    <n v="49.5"/>
    <x v="3"/>
  </r>
  <r>
    <n v="32"/>
    <s v="Maven Toys Hermosillo 1"/>
    <x v="0"/>
    <n v="27"/>
    <s v="PlayDoh Toolkit"/>
    <x v="3"/>
    <n v="53"/>
    <n v="503"/>
    <n v="67.099999999999994"/>
    <x v="3"/>
  </r>
  <r>
    <n v="32"/>
    <s v="Maven Toys Hermosillo 1"/>
    <x v="0"/>
    <n v="28"/>
    <s v="Playfoam"/>
    <x v="3"/>
    <n v="5"/>
    <n v="85"/>
    <n v="37.5"/>
    <x v="3"/>
  </r>
  <r>
    <n v="32"/>
    <s v="Maven Toys Hermosillo 1"/>
    <x v="0"/>
    <n v="29"/>
    <s v="Plush Pony"/>
    <x v="0"/>
    <n v="4"/>
    <n v="17"/>
    <n v="149.9"/>
    <x v="3"/>
  </r>
  <r>
    <n v="33"/>
    <s v="Maven Toys Monterrey 3"/>
    <x v="3"/>
    <n v="29"/>
    <s v="Plush Pony"/>
    <x v="0"/>
    <n v="9"/>
    <n v="100"/>
    <n v="57.3"/>
    <x v="3"/>
  </r>
  <r>
    <n v="33"/>
    <s v="Maven Toys Monterrey 3"/>
    <x v="3"/>
    <n v="30"/>
    <s v="Rubik's Cube"/>
    <x v="1"/>
    <n v="39"/>
    <n v="319"/>
    <n v="77.900000000000006"/>
    <x v="3"/>
  </r>
  <r>
    <n v="33"/>
    <s v="Maven Toys Monterrey 3"/>
    <x v="3"/>
    <n v="19"/>
    <s v="Magic Sand"/>
    <x v="3"/>
    <n v="61"/>
    <n v="517"/>
    <n v="75.2"/>
    <x v="3"/>
  </r>
  <r>
    <n v="33"/>
    <s v="Maven Toys Monterrey 3"/>
    <x v="3"/>
    <n v="20"/>
    <s v="Mini Basketball Hoop"/>
    <x v="4"/>
    <n v="11"/>
    <n v="56"/>
    <n v="125.1"/>
    <x v="3"/>
  </r>
  <r>
    <n v="33"/>
    <s v="Maven Toys Monterrey 3"/>
    <x v="3"/>
    <n v="21"/>
    <s v="Mini Ping Pong Set"/>
    <x v="4"/>
    <n v="13"/>
    <n v="105"/>
    <n v="78.900000000000006"/>
    <x v="3"/>
  </r>
  <r>
    <n v="34"/>
    <s v="Maven Toys Villahermosa 1"/>
    <x v="2"/>
    <n v="4"/>
    <s v="Chutes &amp; Ladders"/>
    <x v="1"/>
    <n v="15"/>
    <n v="108"/>
    <n v="88.5"/>
    <x v="3"/>
  </r>
  <r>
    <n v="33"/>
    <s v="Maven Toys Monterrey 3"/>
    <x v="3"/>
    <n v="32"/>
    <s v="Supersoaker Water Gun"/>
    <x v="4"/>
    <n v="15"/>
    <n v="86"/>
    <n v="111.1"/>
    <x v="3"/>
  </r>
  <r>
    <n v="33"/>
    <s v="Maven Toys Monterrey 3"/>
    <x v="3"/>
    <n v="33"/>
    <s v="Teddy Bear"/>
    <x v="0"/>
    <n v="9"/>
    <n v="84"/>
    <n v="68.3"/>
    <x v="3"/>
  </r>
  <r>
    <n v="33"/>
    <s v="Maven Toys Monterrey 3"/>
    <x v="3"/>
    <n v="34"/>
    <s v="Toy Robot"/>
    <x v="2"/>
    <n v="14"/>
    <n v="133"/>
    <n v="67.099999999999994"/>
    <x v="3"/>
  </r>
  <r>
    <n v="33"/>
    <s v="Maven Toys Monterrey 3"/>
    <x v="3"/>
    <n v="23"/>
    <s v="Mr. Potatohead"/>
    <x v="0"/>
    <n v="22"/>
    <n v="295"/>
    <n v="47.5"/>
    <x v="3"/>
  </r>
  <r>
    <n v="34"/>
    <s v="Maven Toys Villahermosa 1"/>
    <x v="2"/>
    <n v="10"/>
    <s v="Dinosaur Figures"/>
    <x v="0"/>
    <n v="57"/>
    <n v="385"/>
    <n v="94.3"/>
    <x v="3"/>
  </r>
  <r>
    <n v="34"/>
    <s v="Maven Toys Villahermosa 1"/>
    <x v="2"/>
    <n v="11"/>
    <s v="Etch A Sketch"/>
    <x v="3"/>
    <n v="18"/>
    <n v="107"/>
    <n v="107.2"/>
    <x v="3"/>
  </r>
  <r>
    <n v="34"/>
    <s v="Maven Toys Villahermosa 1"/>
    <x v="2"/>
    <n v="32"/>
    <s v="Supersoaker Water Gun"/>
    <x v="4"/>
    <n v="19"/>
    <n v="104"/>
    <n v="116.4"/>
    <x v="3"/>
  </r>
  <r>
    <n v="34"/>
    <s v="Maven Toys Villahermosa 1"/>
    <x v="2"/>
    <n v="33"/>
    <s v="Teddy Bear"/>
    <x v="0"/>
    <n v="9"/>
    <n v="73"/>
    <n v="78.5"/>
    <x v="3"/>
  </r>
  <r>
    <n v="34"/>
    <s v="Maven Toys Villahermosa 1"/>
    <x v="2"/>
    <n v="34"/>
    <s v="Toy Robot"/>
    <x v="2"/>
    <n v="17"/>
    <n v="84"/>
    <n v="128.9"/>
    <x v="3"/>
  </r>
  <r>
    <n v="34"/>
    <s v="Maven Toys Villahermosa 1"/>
    <x v="2"/>
    <n v="28"/>
    <s v="Playfoam"/>
    <x v="3"/>
    <n v="13"/>
    <n v="167"/>
    <n v="49.6"/>
    <x v="3"/>
  </r>
  <r>
    <n v="34"/>
    <s v="Maven Toys Villahermosa 1"/>
    <x v="2"/>
    <n v="20"/>
    <s v="Mini Basketball Hoop"/>
    <x v="4"/>
    <n v="17"/>
    <n v="106"/>
    <n v="102.2"/>
    <x v="3"/>
  </r>
  <r>
    <n v="34"/>
    <s v="Maven Toys Villahermosa 1"/>
    <x v="2"/>
    <n v="21"/>
    <s v="Mini Ping Pong Set"/>
    <x v="4"/>
    <n v="22"/>
    <n v="282"/>
    <n v="49.7"/>
    <x v="3"/>
  </r>
  <r>
    <n v="34"/>
    <s v="Maven Toys Villahermosa 1"/>
    <x v="2"/>
    <n v="22"/>
    <s v="Monopoly"/>
    <x v="1"/>
    <n v="15"/>
    <n v="135"/>
    <n v="70.8"/>
    <x v="3"/>
  </r>
  <r>
    <n v="35"/>
    <s v="Maven Toys Chilpancingo 1"/>
    <x v="2"/>
    <n v="10"/>
    <s v="Dinosaur Figures"/>
    <x v="0"/>
    <n v="86"/>
    <n v="626"/>
    <n v="87.5"/>
    <x v="3"/>
  </r>
  <r>
    <n v="35"/>
    <s v="Maven Toys Chilpancingo 1"/>
    <x v="2"/>
    <n v="2"/>
    <s v="Animal Figures"/>
    <x v="0"/>
    <n v="37"/>
    <n v="669"/>
    <n v="35.200000000000003"/>
    <x v="3"/>
  </r>
  <r>
    <n v="34"/>
    <s v="Maven Toys Villahermosa 1"/>
    <x v="2"/>
    <n v="30"/>
    <s v="Rubik's Cube"/>
    <x v="1"/>
    <n v="53"/>
    <n v="810"/>
    <n v="41.7"/>
    <x v="3"/>
  </r>
  <r>
    <n v="35"/>
    <s v="Maven Toys Chilpancingo 1"/>
    <x v="2"/>
    <n v="26"/>
    <s v="PlayDoh Playset"/>
    <x v="3"/>
    <n v="5"/>
    <n v="90"/>
    <n v="35.4"/>
    <x v="3"/>
  </r>
  <r>
    <n v="35"/>
    <s v="Maven Toys Chilpancingo 1"/>
    <x v="2"/>
    <n v="14"/>
    <s v="Glass Marbles"/>
    <x v="1"/>
    <n v="38"/>
    <n v="330"/>
    <n v="73.400000000000006"/>
    <x v="3"/>
  </r>
  <r>
    <n v="35"/>
    <s v="Maven Toys Chilpancingo 1"/>
    <x v="2"/>
    <n v="24"/>
    <s v="Nerf Gun"/>
    <x v="4"/>
    <n v="44"/>
    <n v="354"/>
    <n v="79.2"/>
    <x v="3"/>
  </r>
  <r>
    <n v="36"/>
    <s v="Maven Toys Morelia 1"/>
    <x v="2"/>
    <n v="27"/>
    <s v="PlayDoh Toolkit"/>
    <x v="3"/>
    <n v="46"/>
    <n v="436"/>
    <n v="67.2"/>
    <x v="3"/>
  </r>
  <r>
    <n v="36"/>
    <s v="Maven Toys Morelia 1"/>
    <x v="2"/>
    <n v="23"/>
    <s v="Mr. Potatohead"/>
    <x v="0"/>
    <n v="19"/>
    <n v="135"/>
    <n v="89.7"/>
    <x v="3"/>
  </r>
  <r>
    <n v="36"/>
    <s v="Maven Toys Morelia 1"/>
    <x v="2"/>
    <n v="29"/>
    <s v="Plush Pony"/>
    <x v="0"/>
    <n v="14"/>
    <n v="89"/>
    <n v="100.2"/>
    <x v="3"/>
  </r>
  <r>
    <n v="36"/>
    <s v="Maven Toys Morelia 1"/>
    <x v="2"/>
    <n v="25"/>
    <s v="PlayDoh Can"/>
    <x v="3"/>
    <n v="125"/>
    <n v="562"/>
    <n v="141.69999999999999"/>
    <x v="3"/>
  </r>
  <r>
    <n v="36"/>
    <s v="Maven Toys Morelia 1"/>
    <x v="2"/>
    <n v="19"/>
    <s v="Magic Sand"/>
    <x v="3"/>
    <n v="28"/>
    <n v="339"/>
    <n v="52.6"/>
    <x v="3"/>
  </r>
  <r>
    <n v="35"/>
    <s v="Maven Toys Chilpancingo 1"/>
    <x v="2"/>
    <n v="31"/>
    <s v="Splash Balls"/>
    <x v="4"/>
    <n v="74"/>
    <n v="571"/>
    <n v="82.6"/>
    <x v="3"/>
  </r>
  <r>
    <n v="35"/>
    <s v="Maven Toys Chilpancingo 1"/>
    <x v="2"/>
    <n v="32"/>
    <s v="Supersoaker Water Gun"/>
    <x v="4"/>
    <n v="20"/>
    <n v="127"/>
    <n v="100.3"/>
    <x v="3"/>
  </r>
  <r>
    <n v="35"/>
    <s v="Maven Toys Chilpancingo 1"/>
    <x v="2"/>
    <n v="12"/>
    <s v="Foam Disk Launcher"/>
    <x v="4"/>
    <n v="15"/>
    <n v="146"/>
    <n v="65.400000000000006"/>
    <x v="3"/>
  </r>
  <r>
    <n v="35"/>
    <s v="Maven Toys Chilpancingo 1"/>
    <x v="2"/>
    <n v="29"/>
    <s v="Plush Pony"/>
    <x v="0"/>
    <n v="11"/>
    <n v="113"/>
    <n v="62"/>
    <x v="3"/>
  </r>
  <r>
    <n v="36"/>
    <s v="Maven Toys Morelia 1"/>
    <x v="2"/>
    <n v="3"/>
    <s v="Barrel O' Slime"/>
    <x v="3"/>
    <n v="26"/>
    <n v="380"/>
    <n v="43.6"/>
    <x v="3"/>
  </r>
  <r>
    <n v="36"/>
    <s v="Maven Toys Morelia 1"/>
    <x v="2"/>
    <n v="9"/>
    <s v="Dino Egg"/>
    <x v="0"/>
    <n v="19"/>
    <n v="267"/>
    <n v="45.3"/>
    <x v="3"/>
  </r>
  <r>
    <n v="37"/>
    <s v="Maven Toys Ciudad de Mexico 3"/>
    <x v="0"/>
    <n v="10"/>
    <s v="Dinosaur Figures"/>
    <x v="0"/>
    <n v="34"/>
    <n v="544"/>
    <n v="39.799999999999997"/>
    <x v="3"/>
  </r>
  <r>
    <n v="36"/>
    <s v="Maven Toys Morelia 1"/>
    <x v="2"/>
    <n v="35"/>
    <s v="Uno Card Game"/>
    <x v="1"/>
    <n v="12"/>
    <n v="68"/>
    <n v="112.4"/>
    <x v="3"/>
  </r>
  <r>
    <n v="36"/>
    <s v="Maven Toys Morelia 1"/>
    <x v="2"/>
    <n v="32"/>
    <s v="Supersoaker Water Gun"/>
    <x v="4"/>
    <n v="7"/>
    <n v="114"/>
    <n v="39.1"/>
    <x v="3"/>
  </r>
  <r>
    <n v="36"/>
    <s v="Maven Toys Morelia 1"/>
    <x v="2"/>
    <n v="33"/>
    <s v="Teddy Bear"/>
    <x v="0"/>
    <n v="21"/>
    <n v="216"/>
    <n v="61.9"/>
    <x v="3"/>
  </r>
  <r>
    <n v="37"/>
    <s v="Maven Toys Ciudad de Mexico 3"/>
    <x v="0"/>
    <n v="8"/>
    <s v="Deck Of Cards"/>
    <x v="1"/>
    <n v="129"/>
    <n v="1988"/>
    <n v="41.3"/>
    <x v="3"/>
  </r>
  <r>
    <n v="37"/>
    <s v="Maven Toys Ciudad de Mexico 3"/>
    <x v="0"/>
    <n v="22"/>
    <s v="Monopoly"/>
    <x v="1"/>
    <n v="9"/>
    <n v="132"/>
    <n v="43.4"/>
    <x v="3"/>
  </r>
  <r>
    <n v="37"/>
    <s v="Maven Toys Ciudad de Mexico 3"/>
    <x v="0"/>
    <n v="13"/>
    <s v="Gamer Headphones"/>
    <x v="2"/>
    <n v="21"/>
    <n v="184"/>
    <n v="72.7"/>
    <x v="3"/>
  </r>
  <r>
    <n v="37"/>
    <s v="Maven Toys Ciudad de Mexico 3"/>
    <x v="0"/>
    <n v="19"/>
    <s v="Magic Sand"/>
    <x v="3"/>
    <n v="69"/>
    <n v="815"/>
    <n v="53.9"/>
    <x v="3"/>
  </r>
  <r>
    <n v="37"/>
    <s v="Maven Toys Ciudad de Mexico 3"/>
    <x v="0"/>
    <n v="20"/>
    <s v="Mini Basketball Hoop"/>
    <x v="4"/>
    <n v="11"/>
    <n v="153"/>
    <n v="45.8"/>
    <x v="3"/>
  </r>
  <r>
    <n v="38"/>
    <s v="Maven Toys Chihuahua 2"/>
    <x v="2"/>
    <n v="20"/>
    <s v="Mini Basketball Hoop"/>
    <x v="4"/>
    <n v="11"/>
    <n v="185"/>
    <n v="37.9"/>
    <x v="3"/>
  </r>
  <r>
    <n v="38"/>
    <s v="Maven Toys Chihuahua 2"/>
    <x v="2"/>
    <n v="10"/>
    <s v="Dinosaur Figures"/>
    <x v="0"/>
    <n v="68"/>
    <n v="405"/>
    <n v="107"/>
    <x v="3"/>
  </r>
  <r>
    <n v="38"/>
    <s v="Maven Toys Chihuahua 2"/>
    <x v="2"/>
    <n v="7"/>
    <s v="Dart Gun"/>
    <x v="4"/>
    <n v="84"/>
    <n v="575"/>
    <n v="93.1"/>
    <x v="3"/>
  </r>
  <r>
    <n v="38"/>
    <s v="Maven Toys Chihuahua 2"/>
    <x v="2"/>
    <n v="4"/>
    <s v="Chutes &amp; Ladders"/>
    <x v="1"/>
    <n v="15"/>
    <n v="170"/>
    <n v="56.2"/>
    <x v="3"/>
  </r>
  <r>
    <n v="38"/>
    <s v="Maven Toys Chihuahua 2"/>
    <x v="2"/>
    <n v="5"/>
    <s v="Classic Dominoes"/>
    <x v="1"/>
    <n v="20"/>
    <n v="257"/>
    <n v="49.6"/>
    <x v="3"/>
  </r>
  <r>
    <n v="37"/>
    <s v="Maven Toys Ciudad de Mexico 3"/>
    <x v="0"/>
    <n v="35"/>
    <s v="Uno Card Game"/>
    <x v="1"/>
    <n v="14"/>
    <n v="164"/>
    <n v="54.4"/>
    <x v="3"/>
  </r>
  <r>
    <n v="37"/>
    <s v="Maven Toys Ciudad de Mexico 3"/>
    <x v="0"/>
    <n v="33"/>
    <s v="Teddy Bear"/>
    <x v="0"/>
    <n v="10"/>
    <n v="163"/>
    <n v="39.1"/>
    <x v="3"/>
  </r>
  <r>
    <n v="38"/>
    <s v="Maven Toys Chihuahua 2"/>
    <x v="2"/>
    <n v="28"/>
    <s v="Playfoam"/>
    <x v="3"/>
    <n v="26"/>
    <n v="169"/>
    <n v="98"/>
    <x v="3"/>
  </r>
  <r>
    <n v="38"/>
    <s v="Maven Toys Chihuahua 2"/>
    <x v="2"/>
    <n v="26"/>
    <s v="PlayDoh Playset"/>
    <x v="3"/>
    <n v="17"/>
    <n v="111"/>
    <n v="97.6"/>
    <x v="3"/>
  </r>
  <r>
    <n v="38"/>
    <s v="Maven Toys Chihuahua 2"/>
    <x v="2"/>
    <n v="23"/>
    <s v="Mr. Potatohead"/>
    <x v="0"/>
    <n v="27"/>
    <n v="147"/>
    <n v="117"/>
    <x v="3"/>
  </r>
  <r>
    <n v="38"/>
    <s v="Maven Toys Chihuahua 2"/>
    <x v="2"/>
    <n v="13"/>
    <s v="Gamer Headphones"/>
    <x v="2"/>
    <n v="21"/>
    <n v="156"/>
    <n v="85.8"/>
    <x v="3"/>
  </r>
  <r>
    <n v="38"/>
    <s v="Maven Toys Chihuahua 2"/>
    <x v="2"/>
    <n v="32"/>
    <s v="Supersoaker Water Gun"/>
    <x v="4"/>
    <n v="20"/>
    <n v="147"/>
    <n v="86.7"/>
    <x v="3"/>
  </r>
  <r>
    <n v="38"/>
    <s v="Maven Toys Chihuahua 2"/>
    <x v="2"/>
    <n v="33"/>
    <s v="Teddy Bear"/>
    <x v="0"/>
    <n v="9"/>
    <n v="93"/>
    <n v="61.6"/>
    <x v="3"/>
  </r>
  <r>
    <n v="38"/>
    <s v="Maven Toys Chihuahua 2"/>
    <x v="2"/>
    <n v="34"/>
    <s v="Toy Robot"/>
    <x v="2"/>
    <n v="18"/>
    <n v="176"/>
    <n v="65.099999999999994"/>
    <x v="3"/>
  </r>
  <r>
    <n v="39"/>
    <s v="Maven Toys Xalapa 2"/>
    <x v="2"/>
    <n v="8"/>
    <s v="Deck Of Cards"/>
    <x v="1"/>
    <n v="90"/>
    <n v="1342"/>
    <n v="42.7"/>
    <x v="3"/>
  </r>
  <r>
    <n v="40"/>
    <s v="Maven Toys Toluca 2"/>
    <x v="1"/>
    <n v="21"/>
    <s v="Mini Ping Pong Set"/>
    <x v="4"/>
    <n v="10"/>
    <n v="64"/>
    <n v="99.5"/>
    <x v="3"/>
  </r>
  <r>
    <n v="40"/>
    <s v="Maven Toys Toluca 2"/>
    <x v="1"/>
    <n v="23"/>
    <s v="Mr. Potatohead"/>
    <x v="0"/>
    <n v="10"/>
    <n v="104"/>
    <n v="61.3"/>
    <x v="3"/>
  </r>
  <r>
    <n v="40"/>
    <s v="Maven Toys Toluca 2"/>
    <x v="1"/>
    <n v="24"/>
    <s v="Nerf Gun"/>
    <x v="4"/>
    <n v="33"/>
    <n v="455"/>
    <n v="46.2"/>
    <x v="3"/>
  </r>
  <r>
    <n v="40"/>
    <s v="Maven Toys Toluca 2"/>
    <x v="1"/>
    <n v="10"/>
    <s v="Dinosaur Figures"/>
    <x v="0"/>
    <n v="66"/>
    <n v="351"/>
    <n v="119.8"/>
    <x v="3"/>
  </r>
  <r>
    <n v="39"/>
    <s v="Maven Toys Xalapa 2"/>
    <x v="2"/>
    <n v="33"/>
    <s v="Teddy Bear"/>
    <x v="0"/>
    <n v="14"/>
    <n v="182"/>
    <n v="49"/>
    <x v="3"/>
  </r>
  <r>
    <n v="39"/>
    <s v="Maven Toys Xalapa 2"/>
    <x v="2"/>
    <n v="13"/>
    <s v="Gamer Headphones"/>
    <x v="2"/>
    <n v="15"/>
    <n v="149"/>
    <n v="64.099999999999994"/>
    <x v="3"/>
  </r>
  <r>
    <n v="39"/>
    <s v="Maven Toys Xalapa 2"/>
    <x v="2"/>
    <n v="10"/>
    <s v="Dinosaur Figures"/>
    <x v="0"/>
    <n v="49"/>
    <n v="665"/>
    <n v="46.9"/>
    <x v="3"/>
  </r>
  <r>
    <n v="39"/>
    <s v="Maven Toys Xalapa 2"/>
    <x v="2"/>
    <n v="24"/>
    <s v="Nerf Gun"/>
    <x v="4"/>
    <n v="58"/>
    <n v="587"/>
    <n v="62.9"/>
    <x v="3"/>
  </r>
  <r>
    <n v="41"/>
    <s v="Maven Toys Hermosillo 2"/>
    <x v="2"/>
    <n v="10"/>
    <s v="Dinosaur Figures"/>
    <x v="0"/>
    <n v="94"/>
    <n v="494"/>
    <n v="121.2"/>
    <x v="3"/>
  </r>
  <r>
    <n v="41"/>
    <s v="Maven Toys Hermosillo 2"/>
    <x v="2"/>
    <n v="3"/>
    <s v="Barrel O' Slime"/>
    <x v="3"/>
    <n v="63"/>
    <n v="1059"/>
    <n v="37.9"/>
    <x v="3"/>
  </r>
  <r>
    <n v="40"/>
    <s v="Maven Toys Toluca 2"/>
    <x v="1"/>
    <n v="27"/>
    <s v="PlayDoh Toolkit"/>
    <x v="3"/>
    <n v="25"/>
    <n v="380"/>
    <n v="41.9"/>
    <x v="3"/>
  </r>
  <r>
    <n v="39"/>
    <s v="Maven Toys Xalapa 2"/>
    <x v="2"/>
    <n v="29"/>
    <s v="Plush Pony"/>
    <x v="0"/>
    <n v="16"/>
    <n v="130"/>
    <n v="78.400000000000006"/>
    <x v="3"/>
  </r>
  <r>
    <n v="40"/>
    <s v="Maven Toys Toluca 2"/>
    <x v="1"/>
    <n v="32"/>
    <s v="Supersoaker Water Gun"/>
    <x v="4"/>
    <n v="7"/>
    <n v="88"/>
    <n v="50.7"/>
    <x v="3"/>
  </r>
  <r>
    <n v="40"/>
    <s v="Maven Toys Toluca 2"/>
    <x v="1"/>
    <n v="33"/>
    <s v="Teddy Bear"/>
    <x v="0"/>
    <n v="16"/>
    <n v="95"/>
    <n v="107.3"/>
    <x v="3"/>
  </r>
  <r>
    <n v="40"/>
    <s v="Maven Toys Toluca 2"/>
    <x v="1"/>
    <n v="30"/>
    <s v="Rubik's Cube"/>
    <x v="1"/>
    <n v="28"/>
    <n v="463"/>
    <n v="38.5"/>
    <x v="3"/>
  </r>
  <r>
    <n v="41"/>
    <s v="Maven Toys Hermosillo 2"/>
    <x v="2"/>
    <n v="19"/>
    <s v="Magic Sand"/>
    <x v="3"/>
    <n v="100"/>
    <n v="1393"/>
    <n v="45.7"/>
    <x v="3"/>
  </r>
  <r>
    <n v="41"/>
    <s v="Maven Toys Hermosillo 2"/>
    <x v="2"/>
    <n v="20"/>
    <s v="Mini Basketball Hoop"/>
    <x v="4"/>
    <n v="17"/>
    <n v="79"/>
    <n v="137.1"/>
    <x v="3"/>
  </r>
  <r>
    <n v="41"/>
    <s v="Maven Toys Hermosillo 2"/>
    <x v="2"/>
    <n v="21"/>
    <s v="Mini Ping Pong Set"/>
    <x v="4"/>
    <n v="29"/>
    <n v="215"/>
    <n v="85.9"/>
    <x v="3"/>
  </r>
  <r>
    <n v="41"/>
    <s v="Maven Toys Hermosillo 2"/>
    <x v="2"/>
    <n v="22"/>
    <s v="Monopoly"/>
    <x v="1"/>
    <n v="9"/>
    <n v="112"/>
    <n v="51.2"/>
    <x v="3"/>
  </r>
  <r>
    <n v="41"/>
    <s v="Maven Toys Hermosillo 2"/>
    <x v="2"/>
    <n v="23"/>
    <s v="Mr. Potatohead"/>
    <x v="0"/>
    <n v="19"/>
    <n v="222"/>
    <n v="54.5"/>
    <x v="3"/>
  </r>
  <r>
    <n v="41"/>
    <s v="Maven Toys Hermosillo 2"/>
    <x v="2"/>
    <n v="5"/>
    <s v="Classic Dominoes"/>
    <x v="1"/>
    <n v="8"/>
    <n v="103"/>
    <n v="49.5"/>
    <x v="3"/>
  </r>
  <r>
    <n v="24"/>
    <s v="Maven Toys Aguascalientes 1"/>
    <x v="2"/>
    <n v="11"/>
    <s v="Etch A Sketch"/>
    <x v="3"/>
    <n v="13"/>
    <n v="171"/>
    <n v="48.4"/>
    <x v="3"/>
  </r>
  <r>
    <n v="23"/>
    <s v="Maven Toys Chihuahua 1"/>
    <x v="1"/>
    <n v="26"/>
    <s v="PlayDoh Playset"/>
    <x v="3"/>
    <n v="15"/>
    <n v="130"/>
    <n v="73.5"/>
    <x v="3"/>
  </r>
  <r>
    <n v="23"/>
    <s v="Maven Toys Chihuahua 1"/>
    <x v="1"/>
    <n v="15"/>
    <s v="Hot Wheels 5-Pack"/>
    <x v="0"/>
    <n v="14"/>
    <n v="192"/>
    <n v="46.4"/>
    <x v="3"/>
  </r>
  <r>
    <n v="19"/>
    <s v="Maven Toys Puebla 1"/>
    <x v="1"/>
    <n v="5"/>
    <s v="Classic Dominoes"/>
    <x v="1"/>
    <n v="17"/>
    <n v="84"/>
    <n v="128.9"/>
    <x v="3"/>
  </r>
  <r>
    <n v="22"/>
    <s v="Maven Toys Guanajuato 2"/>
    <x v="1"/>
    <n v="33"/>
    <s v="Teddy Bear"/>
    <x v="0"/>
    <n v="8"/>
    <n v="72"/>
    <n v="70.8"/>
    <x v="3"/>
  </r>
  <r>
    <n v="23"/>
    <s v="Maven Toys Chihuahua 1"/>
    <x v="1"/>
    <n v="22"/>
    <s v="Monopoly"/>
    <x v="1"/>
    <n v="11"/>
    <n v="119"/>
    <n v="58.9"/>
    <x v="3"/>
  </r>
  <r>
    <n v="23"/>
    <s v="Maven Toys Chihuahua 1"/>
    <x v="1"/>
    <n v="23"/>
    <s v="Mr. Potatohead"/>
    <x v="0"/>
    <n v="8"/>
    <n v="114"/>
    <n v="44.7"/>
    <x v="3"/>
  </r>
  <r>
    <n v="23"/>
    <s v="Maven Toys Chihuahua 1"/>
    <x v="1"/>
    <n v="24"/>
    <s v="Nerf Gun"/>
    <x v="4"/>
    <n v="40"/>
    <n v="296"/>
    <n v="86.1"/>
    <x v="3"/>
  </r>
  <r>
    <n v="23"/>
    <s v="Maven Toys Chihuahua 1"/>
    <x v="1"/>
    <n v="10"/>
    <s v="Dinosaur Figures"/>
    <x v="0"/>
    <n v="35"/>
    <n v="362"/>
    <n v="61.6"/>
    <x v="3"/>
  </r>
  <r>
    <n v="23"/>
    <s v="Maven Toys Chihuahua 1"/>
    <x v="1"/>
    <n v="11"/>
    <s v="Etch A Sketch"/>
    <x v="3"/>
    <n v="18"/>
    <n v="107"/>
    <n v="107.2"/>
    <x v="3"/>
  </r>
  <r>
    <n v="23"/>
    <s v="Maven Toys Chihuahua 1"/>
    <x v="1"/>
    <n v="12"/>
    <s v="Foam Disk Launcher"/>
    <x v="4"/>
    <n v="14"/>
    <n v="143"/>
    <n v="62.4"/>
    <x v="3"/>
  </r>
  <r>
    <n v="23"/>
    <s v="Maven Toys Chihuahua 1"/>
    <x v="1"/>
    <n v="13"/>
    <s v="Gamer Headphones"/>
    <x v="2"/>
    <n v="31"/>
    <n v="459"/>
    <n v="43"/>
    <x v="3"/>
  </r>
  <r>
    <n v="22"/>
    <s v="Maven Toys Guanajuato 2"/>
    <x v="1"/>
    <n v="10"/>
    <s v="Dinosaur Figures"/>
    <x v="0"/>
    <n v="64"/>
    <n v="671"/>
    <n v="60.8"/>
    <x v="3"/>
  </r>
  <r>
    <n v="21"/>
    <s v="Maven Toys Santiago 1"/>
    <x v="2"/>
    <n v="33"/>
    <s v="Teddy Bear"/>
    <x v="0"/>
    <n v="16"/>
    <n v="102"/>
    <n v="99.9"/>
    <x v="3"/>
  </r>
  <r>
    <n v="22"/>
    <s v="Maven Toys Guanajuato 2"/>
    <x v="1"/>
    <n v="22"/>
    <s v="Monopoly"/>
    <x v="1"/>
    <n v="4"/>
    <n v="68"/>
    <n v="37.5"/>
    <x v="3"/>
  </r>
  <r>
    <n v="22"/>
    <s v="Maven Toys Guanajuato 2"/>
    <x v="1"/>
    <n v="23"/>
    <s v="Mr. Potatohead"/>
    <x v="0"/>
    <n v="7"/>
    <n v="91"/>
    <n v="49"/>
    <x v="3"/>
  </r>
  <r>
    <n v="22"/>
    <s v="Maven Toys Guanajuato 2"/>
    <x v="1"/>
    <n v="24"/>
    <s v="Nerf Gun"/>
    <x v="4"/>
    <n v="29"/>
    <n v="353"/>
    <n v="52.3"/>
    <x v="3"/>
  </r>
  <r>
    <n v="22"/>
    <s v="Maven Toys Guanajuato 2"/>
    <x v="1"/>
    <n v="20"/>
    <s v="Mini Basketball Hoop"/>
    <x v="4"/>
    <n v="18"/>
    <n v="81"/>
    <n v="141.6"/>
    <x v="3"/>
  </r>
  <r>
    <n v="22"/>
    <s v="Maven Toys Guanajuato 2"/>
    <x v="1"/>
    <n v="26"/>
    <s v="PlayDoh Playset"/>
    <x v="3"/>
    <n v="15"/>
    <n v="68"/>
    <n v="140.5"/>
    <x v="3"/>
  </r>
  <r>
    <n v="22"/>
    <s v="Maven Toys Guanajuato 2"/>
    <x v="1"/>
    <n v="27"/>
    <s v="PlayDoh Toolkit"/>
    <x v="3"/>
    <n v="45"/>
    <n v="287"/>
    <n v="99.9"/>
    <x v="3"/>
  </r>
  <r>
    <n v="22"/>
    <s v="Maven Toys Guanajuato 2"/>
    <x v="1"/>
    <n v="5"/>
    <s v="Classic Dominoes"/>
    <x v="1"/>
    <n v="14"/>
    <n v="146"/>
    <n v="61.1"/>
    <x v="3"/>
  </r>
  <r>
    <n v="25"/>
    <s v="Maven Toys Ciudad Victoria 1"/>
    <x v="2"/>
    <n v="21"/>
    <s v="Mini Ping Pong Set"/>
    <x v="4"/>
    <n v="5"/>
    <n v="56"/>
    <n v="56.9"/>
    <x v="3"/>
  </r>
  <r>
    <n v="25"/>
    <s v="Maven Toys Ciudad Victoria 1"/>
    <x v="2"/>
    <n v="23"/>
    <s v="Mr. Potatohead"/>
    <x v="0"/>
    <n v="10"/>
    <n v="137"/>
    <n v="46.5"/>
    <x v="3"/>
  </r>
  <r>
    <n v="25"/>
    <s v="Maven Toys Ciudad Victoria 1"/>
    <x v="2"/>
    <n v="12"/>
    <s v="Foam Disk Launcher"/>
    <x v="4"/>
    <n v="17"/>
    <n v="76"/>
    <n v="142.5"/>
    <x v="3"/>
  </r>
  <r>
    <n v="23"/>
    <s v="Maven Toys Chihuahua 1"/>
    <x v="1"/>
    <n v="34"/>
    <s v="Toy Robot"/>
    <x v="2"/>
    <n v="18"/>
    <n v="231"/>
    <n v="49.6"/>
    <x v="3"/>
  </r>
  <r>
    <n v="23"/>
    <s v="Maven Toys Chihuahua 1"/>
    <x v="1"/>
    <n v="32"/>
    <s v="Supersoaker Water Gun"/>
    <x v="4"/>
    <n v="11"/>
    <n v="47"/>
    <n v="149.1"/>
    <x v="3"/>
  </r>
  <r>
    <n v="24"/>
    <s v="Maven Toys Aguascalientes 1"/>
    <x v="2"/>
    <n v="14"/>
    <s v="Glass Marbles"/>
    <x v="1"/>
    <n v="36"/>
    <n v="599"/>
    <n v="38.299999999999997"/>
    <x v="3"/>
  </r>
  <r>
    <n v="24"/>
    <s v="Maven Toys Aguascalientes 1"/>
    <x v="2"/>
    <n v="17"/>
    <s v="Kids Makeup Kit"/>
    <x v="3"/>
    <n v="27"/>
    <n v="216"/>
    <n v="79.599999999999994"/>
    <x v="3"/>
  </r>
  <r>
    <n v="23"/>
    <s v="Maven Toys Chihuahua 1"/>
    <x v="1"/>
    <n v="29"/>
    <s v="Plush Pony"/>
    <x v="0"/>
    <n v="9"/>
    <n v="78"/>
    <n v="73.5"/>
    <x v="3"/>
  </r>
  <r>
    <n v="24"/>
    <s v="Maven Toys Aguascalientes 1"/>
    <x v="2"/>
    <n v="27"/>
    <s v="PlayDoh Toolkit"/>
    <x v="3"/>
    <n v="50"/>
    <n v="343"/>
    <n v="92.9"/>
    <x v="3"/>
  </r>
  <r>
    <n v="24"/>
    <s v="Maven Toys Aguascalientes 1"/>
    <x v="2"/>
    <n v="19"/>
    <s v="Magic Sand"/>
    <x v="3"/>
    <n v="67"/>
    <n v="656"/>
    <n v="65.099999999999994"/>
    <x v="3"/>
  </r>
  <r>
    <n v="24"/>
    <s v="Maven Toys Aguascalientes 1"/>
    <x v="2"/>
    <n v="20"/>
    <s v="Mini Basketball Hoop"/>
    <x v="4"/>
    <n v="7"/>
    <n v="34"/>
    <n v="131.1"/>
    <x v="3"/>
  </r>
  <r>
    <n v="24"/>
    <s v="Maven Toys Aguascalientes 1"/>
    <x v="2"/>
    <n v="22"/>
    <s v="Monopoly"/>
    <x v="1"/>
    <n v="13"/>
    <n v="78"/>
    <n v="106.2"/>
    <x v="3"/>
  </r>
  <r>
    <n v="24"/>
    <s v="Maven Toys Aguascalientes 1"/>
    <x v="2"/>
    <n v="23"/>
    <s v="Mr. Potatohead"/>
    <x v="0"/>
    <n v="16"/>
    <n v="138"/>
    <n v="73.900000000000006"/>
    <x v="3"/>
  </r>
  <r>
    <n v="26"/>
    <s v="Maven Toys Campeche 2"/>
    <x v="1"/>
    <n v="22"/>
    <s v="Monopoly"/>
    <x v="1"/>
    <n v="5"/>
    <n v="50"/>
    <n v="63.7"/>
    <x v="3"/>
  </r>
  <r>
    <n v="26"/>
    <s v="Maven Toys Campeche 2"/>
    <x v="1"/>
    <n v="16"/>
    <s v="Jenga"/>
    <x v="1"/>
    <n v="20"/>
    <n v="258"/>
    <n v="49.4"/>
    <x v="3"/>
  </r>
  <r>
    <n v="26"/>
    <s v="Maven Toys Campeche 2"/>
    <x v="1"/>
    <n v="19"/>
    <s v="Magic Sand"/>
    <x v="3"/>
    <n v="90"/>
    <n v="1085"/>
    <n v="52.8"/>
    <x v="3"/>
  </r>
  <r>
    <n v="26"/>
    <s v="Maven Toys Campeche 2"/>
    <x v="1"/>
    <n v="20"/>
    <s v="Mini Basketball Hoop"/>
    <x v="4"/>
    <n v="6"/>
    <n v="58"/>
    <n v="65.900000000000006"/>
    <x v="3"/>
  </r>
  <r>
    <n v="26"/>
    <s v="Maven Toys Campeche 2"/>
    <x v="1"/>
    <n v="12"/>
    <s v="Foam Disk Launcher"/>
    <x v="4"/>
    <n v="14"/>
    <n v="67"/>
    <n v="133.1"/>
    <x v="3"/>
  </r>
  <r>
    <n v="26"/>
    <s v="Maven Toys Campeche 2"/>
    <x v="1"/>
    <n v="13"/>
    <s v="Gamer Headphones"/>
    <x v="2"/>
    <n v="20"/>
    <n v="214"/>
    <n v="59.5"/>
    <x v="3"/>
  </r>
  <r>
    <n v="24"/>
    <s v="Maven Toys Aguascalientes 1"/>
    <x v="2"/>
    <n v="34"/>
    <s v="Toy Robot"/>
    <x v="2"/>
    <n v="17"/>
    <n v="251"/>
    <n v="43.1"/>
    <x v="3"/>
  </r>
  <r>
    <n v="24"/>
    <s v="Maven Toys Aguascalientes 1"/>
    <x v="2"/>
    <n v="35"/>
    <s v="Uno Card Game"/>
    <x v="1"/>
    <n v="19"/>
    <n v="79"/>
    <n v="153.19999999999999"/>
    <x v="3"/>
  </r>
  <r>
    <n v="25"/>
    <s v="Maven Toys Ciudad Victoria 1"/>
    <x v="2"/>
    <n v="27"/>
    <s v="PlayDoh Toolkit"/>
    <x v="3"/>
    <n v="29"/>
    <n v="375"/>
    <n v="49.3"/>
    <x v="3"/>
  </r>
  <r>
    <n v="25"/>
    <s v="Maven Toys Ciudad Victoria 1"/>
    <x v="2"/>
    <n v="28"/>
    <s v="Playfoam"/>
    <x v="3"/>
    <n v="16"/>
    <n v="84"/>
    <n v="121.3"/>
    <x v="3"/>
  </r>
  <r>
    <n v="25"/>
    <s v="Maven Toys Ciudad Victoria 1"/>
    <x v="2"/>
    <n v="29"/>
    <s v="Plush Pony"/>
    <x v="0"/>
    <n v="6"/>
    <n v="74"/>
    <n v="51.6"/>
    <x v="3"/>
  </r>
  <r>
    <n v="24"/>
    <s v="Maven Toys Aguascalientes 1"/>
    <x v="2"/>
    <n v="32"/>
    <s v="Supersoaker Water Gun"/>
    <x v="4"/>
    <n v="10"/>
    <n v="52"/>
    <n v="122.5"/>
    <x v="3"/>
  </r>
  <r>
    <n v="24"/>
    <s v="Maven Toys Aguascalientes 1"/>
    <x v="2"/>
    <n v="30"/>
    <s v="Rubik's Cube"/>
    <x v="1"/>
    <n v="50"/>
    <n v="906"/>
    <n v="35.200000000000003"/>
    <x v="3"/>
  </r>
  <r>
    <n v="26"/>
    <s v="Maven Toys Campeche 2"/>
    <x v="1"/>
    <n v="4"/>
    <s v="Chutes &amp; Ladders"/>
    <x v="1"/>
    <n v="12"/>
    <n v="74"/>
    <n v="103.3"/>
    <x v="3"/>
  </r>
  <r>
    <n v="26"/>
    <s v="Maven Toys Campeche 2"/>
    <x v="1"/>
    <n v="5"/>
    <s v="Classic Dominoes"/>
    <x v="1"/>
    <n v="8"/>
    <n v="90"/>
    <n v="56.6"/>
    <x v="3"/>
  </r>
  <r>
    <n v="25"/>
    <s v="Maven Toys Ciudad Victoria 1"/>
    <x v="2"/>
    <n v="32"/>
    <s v="Supersoaker Water Gun"/>
    <x v="4"/>
    <n v="10"/>
    <n v="94"/>
    <n v="67.8"/>
    <x v="3"/>
  </r>
  <r>
    <n v="25"/>
    <s v="Maven Toys Ciudad Victoria 1"/>
    <x v="2"/>
    <n v="33"/>
    <s v="Teddy Bear"/>
    <x v="0"/>
    <n v="4"/>
    <n v="68"/>
    <n v="37.5"/>
    <x v="3"/>
  </r>
  <r>
    <n v="25"/>
    <s v="Maven Toys Ciudad Victoria 1"/>
    <x v="2"/>
    <n v="34"/>
    <s v="Toy Robot"/>
    <x v="2"/>
    <n v="23"/>
    <n v="171"/>
    <n v="85.7"/>
    <x v="3"/>
  </r>
  <r>
    <n v="27"/>
    <s v="Maven Toys Oaxaca 1"/>
    <x v="2"/>
    <n v="10"/>
    <s v="Dinosaur Figures"/>
    <x v="0"/>
    <n v="45"/>
    <n v="298"/>
    <n v="96.2"/>
    <x v="3"/>
  </r>
  <r>
    <n v="26"/>
    <s v="Maven Toys Campeche 2"/>
    <x v="1"/>
    <n v="28"/>
    <s v="Playfoam"/>
    <x v="3"/>
    <n v="26"/>
    <n v="118"/>
    <n v="140.4"/>
    <x v="3"/>
  </r>
  <r>
    <n v="26"/>
    <s v="Maven Toys Campeche 2"/>
    <x v="1"/>
    <n v="29"/>
    <s v="Plush Pony"/>
    <x v="0"/>
    <n v="3"/>
    <n v="49"/>
    <n v="39"/>
    <x v="3"/>
  </r>
  <r>
    <n v="26"/>
    <s v="Maven Toys Campeche 2"/>
    <x v="1"/>
    <n v="30"/>
    <s v="Rubik's Cube"/>
    <x v="1"/>
    <n v="46"/>
    <n v="725"/>
    <n v="40.4"/>
    <x v="3"/>
  </r>
  <r>
    <n v="27"/>
    <s v="Maven Toys Oaxaca 1"/>
    <x v="2"/>
    <n v="23"/>
    <s v="Mr. Potatohead"/>
    <x v="0"/>
    <n v="16"/>
    <n v="125"/>
    <n v="81.5"/>
    <x v="3"/>
  </r>
  <r>
    <n v="27"/>
    <s v="Maven Toys Oaxaca 1"/>
    <x v="2"/>
    <n v="24"/>
    <s v="Nerf Gun"/>
    <x v="4"/>
    <n v="46"/>
    <n v="256"/>
    <n v="114.5"/>
    <x v="3"/>
  </r>
  <r>
    <n v="26"/>
    <s v="Maven Toys Campeche 2"/>
    <x v="1"/>
    <n v="34"/>
    <s v="Toy Robot"/>
    <x v="2"/>
    <n v="17"/>
    <n v="294"/>
    <n v="36.799999999999997"/>
    <x v="3"/>
  </r>
  <r>
    <n v="26"/>
    <s v="Maven Toys Campeche 2"/>
    <x v="1"/>
    <n v="35"/>
    <s v="Uno Card Game"/>
    <x v="1"/>
    <n v="8"/>
    <n v="103"/>
    <n v="49.5"/>
    <x v="3"/>
  </r>
  <r>
    <n v="27"/>
    <s v="Maven Toys Oaxaca 1"/>
    <x v="2"/>
    <n v="13"/>
    <s v="Gamer Headphones"/>
    <x v="2"/>
    <n v="10"/>
    <n v="108"/>
    <n v="59"/>
    <x v="3"/>
  </r>
  <r>
    <n v="29"/>
    <s v="Maven Toys Xalapa 1"/>
    <x v="1"/>
    <n v="17"/>
    <s v="Kids Makeup Kit"/>
    <x v="3"/>
    <n v="25"/>
    <n v="285"/>
    <n v="55.9"/>
    <x v="3"/>
  </r>
  <r>
    <n v="28"/>
    <s v="Maven Toys Puebla 2"/>
    <x v="2"/>
    <n v="26"/>
    <s v="PlayDoh Playset"/>
    <x v="3"/>
    <n v="15"/>
    <n v="180"/>
    <n v="53.1"/>
    <x v="3"/>
  </r>
  <r>
    <n v="28"/>
    <s v="Maven Toys Puebla 2"/>
    <x v="2"/>
    <n v="23"/>
    <s v="Mr. Potatohead"/>
    <x v="0"/>
    <n v="24"/>
    <n v="268"/>
    <n v="57"/>
    <x v="3"/>
  </r>
  <r>
    <n v="27"/>
    <s v="Maven Toys Oaxaca 1"/>
    <x v="2"/>
    <n v="32"/>
    <s v="Supersoaker Water Gun"/>
    <x v="4"/>
    <n v="6"/>
    <n v="75"/>
    <n v="51"/>
    <x v="3"/>
  </r>
  <r>
    <n v="27"/>
    <s v="Maven Toys Oaxaca 1"/>
    <x v="2"/>
    <n v="33"/>
    <s v="Teddy Bear"/>
    <x v="0"/>
    <n v="7"/>
    <n v="105"/>
    <n v="42.5"/>
    <x v="3"/>
  </r>
  <r>
    <n v="27"/>
    <s v="Maven Toys Oaxaca 1"/>
    <x v="2"/>
    <n v="29"/>
    <s v="Plush Pony"/>
    <x v="0"/>
    <n v="3"/>
    <n v="13"/>
    <n v="147"/>
    <x v="3"/>
  </r>
  <r>
    <n v="30"/>
    <s v="Maven Toys Guadalajara 3"/>
    <x v="3"/>
    <n v="28"/>
    <s v="Playfoam"/>
    <x v="3"/>
    <n v="3"/>
    <n v="46"/>
    <n v="41.5"/>
    <x v="3"/>
  </r>
  <r>
    <n v="30"/>
    <s v="Maven Toys Guadalajara 3"/>
    <x v="3"/>
    <n v="29"/>
    <s v="Plush Pony"/>
    <x v="0"/>
    <n v="19"/>
    <n v="294"/>
    <n v="41.2"/>
    <x v="3"/>
  </r>
  <r>
    <n v="30"/>
    <s v="Maven Toys Guadalajara 3"/>
    <x v="3"/>
    <n v="8"/>
    <s v="Deck Of Cards"/>
    <x v="1"/>
    <n v="110"/>
    <n v="709"/>
    <n v="98.8"/>
    <x v="3"/>
  </r>
  <r>
    <n v="29"/>
    <s v="Maven Toys Xalapa 1"/>
    <x v="1"/>
    <n v="29"/>
    <s v="Plush Pony"/>
    <x v="0"/>
    <n v="6"/>
    <n v="109"/>
    <n v="35.1"/>
    <x v="3"/>
  </r>
  <r>
    <n v="29"/>
    <s v="Maven Toys Xalapa 1"/>
    <x v="1"/>
    <n v="27"/>
    <s v="PlayDoh Toolkit"/>
    <x v="3"/>
    <n v="27"/>
    <n v="448"/>
    <n v="38.4"/>
    <x v="3"/>
  </r>
  <r>
    <n v="29"/>
    <s v="Maven Toys Xalapa 1"/>
    <x v="1"/>
    <n v="23"/>
    <s v="Mr. Potatohead"/>
    <x v="0"/>
    <n v="37"/>
    <n v="176"/>
    <n v="133.9"/>
    <x v="3"/>
  </r>
  <r>
    <n v="28"/>
    <s v="Maven Toys Puebla 2"/>
    <x v="2"/>
    <n v="33"/>
    <s v="Teddy Bear"/>
    <x v="0"/>
    <n v="9"/>
    <n v="152"/>
    <n v="37.700000000000003"/>
    <x v="3"/>
  </r>
  <r>
    <n v="31"/>
    <s v="Maven Toys Ciudad de Mexico 2"/>
    <x v="3"/>
    <n v="19"/>
    <s v="Magic Sand"/>
    <x v="3"/>
    <n v="95"/>
    <n v="1660"/>
    <n v="36.5"/>
    <x v="3"/>
  </r>
  <r>
    <n v="31"/>
    <s v="Maven Toys Ciudad de Mexico 2"/>
    <x v="3"/>
    <n v="26"/>
    <s v="PlayDoh Playset"/>
    <x v="3"/>
    <n v="17"/>
    <n v="203"/>
    <n v="53.3"/>
    <x v="3"/>
  </r>
  <r>
    <n v="30"/>
    <s v="Maven Toys Guadalajara 3"/>
    <x v="3"/>
    <n v="32"/>
    <s v="Supersoaker Water Gun"/>
    <x v="4"/>
    <n v="13"/>
    <n v="133"/>
    <n v="62.3"/>
    <x v="3"/>
  </r>
  <r>
    <n v="30"/>
    <s v="Maven Toys Guadalajara 3"/>
    <x v="3"/>
    <n v="33"/>
    <s v="Teddy Bear"/>
    <x v="0"/>
    <n v="10"/>
    <n v="142"/>
    <n v="44.9"/>
    <x v="3"/>
  </r>
  <r>
    <n v="31"/>
    <s v="Maven Toys Ciudad de Mexico 2"/>
    <x v="3"/>
    <n v="33"/>
    <s v="Teddy Bear"/>
    <x v="0"/>
    <n v="20"/>
    <n v="142"/>
    <n v="89.7"/>
    <x v="3"/>
  </r>
  <r>
    <n v="31"/>
    <s v="Maven Toys Ciudad de Mexico 2"/>
    <x v="3"/>
    <n v="34"/>
    <s v="Toy Robot"/>
    <x v="2"/>
    <n v="20"/>
    <n v="239"/>
    <n v="53.3"/>
    <x v="3"/>
  </r>
  <r>
    <n v="31"/>
    <s v="Maven Toys Ciudad de Mexico 2"/>
    <x v="3"/>
    <n v="28"/>
    <s v="Playfoam"/>
    <x v="3"/>
    <n v="10"/>
    <n v="49"/>
    <n v="130"/>
    <x v="3"/>
  </r>
  <r>
    <n v="31"/>
    <s v="Maven Toys Ciudad de Mexico 2"/>
    <x v="3"/>
    <n v="29"/>
    <s v="Plush Pony"/>
    <x v="0"/>
    <n v="28"/>
    <n v="225"/>
    <n v="79.3"/>
    <x v="3"/>
  </r>
  <r>
    <n v="29"/>
    <s v="Maven Toys Xalapa 1"/>
    <x v="1"/>
    <n v="34"/>
    <s v="Toy Robot"/>
    <x v="2"/>
    <n v="16"/>
    <n v="188"/>
    <n v="54.2"/>
    <x v="3"/>
  </r>
  <r>
    <n v="1"/>
    <s v="Maven Toys Guadalajara 1"/>
    <x v="0"/>
    <n v="26"/>
    <s v="PlayDoh Playset"/>
    <x v="3"/>
    <n v="13"/>
    <n v="91"/>
    <n v="91"/>
    <x v="3"/>
  </r>
  <r>
    <n v="1"/>
    <s v="Maven Toys Guadalajara 1"/>
    <x v="0"/>
    <n v="27"/>
    <s v="PlayDoh Toolkit"/>
    <x v="3"/>
    <n v="33"/>
    <n v="477"/>
    <n v="44.1"/>
    <x v="3"/>
  </r>
  <r>
    <n v="1"/>
    <s v="Maven Toys Guadalajara 1"/>
    <x v="0"/>
    <n v="28"/>
    <s v="Playfoam"/>
    <x v="3"/>
    <n v="10"/>
    <n v="117"/>
    <n v="54.4"/>
    <x v="3"/>
  </r>
  <r>
    <n v="1"/>
    <s v="Maven Toys Guadalajara 1"/>
    <x v="0"/>
    <n v="20"/>
    <s v="Mini Basketball Hoop"/>
    <x v="4"/>
    <n v="11"/>
    <n v="75"/>
    <n v="93.4"/>
    <x v="3"/>
  </r>
  <r>
    <n v="1"/>
    <s v="Maven Toys Guadalajara 1"/>
    <x v="0"/>
    <n v="4"/>
    <s v="Chutes &amp; Ladders"/>
    <x v="1"/>
    <n v="6"/>
    <n v="78"/>
    <n v="49"/>
    <x v="3"/>
  </r>
  <r>
    <n v="1"/>
    <s v="Maven Toys Guadalajara 1"/>
    <x v="0"/>
    <n v="6"/>
    <s v="Colorbuds"/>
    <x v="2"/>
    <n v="79"/>
    <n v="580"/>
    <n v="86.8"/>
    <x v="3"/>
  </r>
  <r>
    <n v="1"/>
    <s v="Maven Toys Guadalajara 1"/>
    <x v="0"/>
    <n v="35"/>
    <s v="Uno Card Game"/>
    <x v="1"/>
    <n v="12"/>
    <n v="124"/>
    <n v="61.6"/>
    <x v="3"/>
  </r>
  <r>
    <n v="2"/>
    <s v="Maven Toys Monterrey 1"/>
    <x v="0"/>
    <n v="32"/>
    <s v="Supersoaker Water Gun"/>
    <x v="4"/>
    <n v="10"/>
    <n v="86"/>
    <n v="74.099999999999994"/>
    <x v="3"/>
  </r>
  <r>
    <n v="2"/>
    <s v="Maven Toys Monterrey 1"/>
    <x v="0"/>
    <n v="33"/>
    <s v="Teddy Bear"/>
    <x v="0"/>
    <n v="11"/>
    <n v="85"/>
    <n v="82.4"/>
    <x v="3"/>
  </r>
  <r>
    <n v="2"/>
    <s v="Maven Toys Monterrey 1"/>
    <x v="0"/>
    <n v="34"/>
    <s v="Toy Robot"/>
    <x v="2"/>
    <n v="18"/>
    <n v="211"/>
    <n v="54.3"/>
    <x v="3"/>
  </r>
  <r>
    <n v="2"/>
    <s v="Maven Toys Monterrey 1"/>
    <x v="0"/>
    <n v="30"/>
    <s v="Rubik's Cube"/>
    <x v="1"/>
    <n v="50"/>
    <n v="825"/>
    <n v="38.6"/>
    <x v="3"/>
  </r>
  <r>
    <n v="2"/>
    <s v="Maven Toys Monterrey 1"/>
    <x v="0"/>
    <n v="26"/>
    <s v="PlayDoh Playset"/>
    <x v="3"/>
    <n v="12"/>
    <n v="68"/>
    <n v="112.4"/>
    <x v="3"/>
  </r>
  <r>
    <n v="2"/>
    <s v="Maven Toys Monterrey 1"/>
    <x v="0"/>
    <n v="27"/>
    <s v="PlayDoh Toolkit"/>
    <x v="3"/>
    <n v="30"/>
    <n v="434"/>
    <n v="44"/>
    <x v="3"/>
  </r>
  <r>
    <n v="2"/>
    <s v="Maven Toys Monterrey 1"/>
    <x v="0"/>
    <n v="23"/>
    <s v="Mr. Potatohead"/>
    <x v="0"/>
    <n v="8"/>
    <n v="80"/>
    <n v="63.7"/>
    <x v="3"/>
  </r>
  <r>
    <n v="2"/>
    <s v="Maven Toys Monterrey 1"/>
    <x v="0"/>
    <n v="24"/>
    <s v="Nerf Gun"/>
    <x v="4"/>
    <n v="39"/>
    <n v="497"/>
    <n v="50"/>
    <x v="3"/>
  </r>
  <r>
    <n v="2"/>
    <s v="Maven Toys Monterrey 1"/>
    <x v="0"/>
    <n v="14"/>
    <s v="Glass Marbles"/>
    <x v="1"/>
    <n v="21"/>
    <n v="357"/>
    <n v="37.5"/>
    <x v="3"/>
  </r>
  <r>
    <n v="3"/>
    <s v="Maven Toys Guadalajara 2"/>
    <x v="1"/>
    <n v="10"/>
    <s v="Dinosaur Figures"/>
    <x v="0"/>
    <n v="54"/>
    <n v="502"/>
    <n v="68.5"/>
    <x v="3"/>
  </r>
  <r>
    <n v="3"/>
    <s v="Maven Toys Guadalajara 2"/>
    <x v="1"/>
    <n v="11"/>
    <s v="Etch A Sketch"/>
    <x v="3"/>
    <n v="13"/>
    <n v="231"/>
    <n v="35.799999999999997"/>
    <x v="3"/>
  </r>
  <r>
    <n v="3"/>
    <s v="Maven Toys Guadalajara 2"/>
    <x v="1"/>
    <n v="26"/>
    <s v="PlayDoh Playset"/>
    <x v="3"/>
    <n v="13"/>
    <n v="71"/>
    <n v="116.6"/>
    <x v="3"/>
  </r>
  <r>
    <n v="3"/>
    <s v="Maven Toys Guadalajara 2"/>
    <x v="1"/>
    <n v="23"/>
    <s v="Mr. Potatohead"/>
    <x v="0"/>
    <n v="13"/>
    <n v="140"/>
    <n v="59.2"/>
    <x v="3"/>
  </r>
  <r>
    <n v="3"/>
    <s v="Maven Toys Guadalajara 2"/>
    <x v="1"/>
    <n v="18"/>
    <s v="Lego Bricks"/>
    <x v="0"/>
    <n v="52"/>
    <n v="779"/>
    <n v="42.5"/>
    <x v="3"/>
  </r>
  <r>
    <n v="4"/>
    <s v="Maven Toys Saltillo 1"/>
    <x v="2"/>
    <n v="20"/>
    <s v="Mini Basketball Hoop"/>
    <x v="4"/>
    <n v="13"/>
    <n v="222"/>
    <n v="37.299999999999997"/>
    <x v="3"/>
  </r>
  <r>
    <n v="4"/>
    <s v="Maven Toys Saltillo 1"/>
    <x v="2"/>
    <n v="26"/>
    <s v="PlayDoh Playset"/>
    <x v="3"/>
    <n v="10"/>
    <n v="116"/>
    <n v="54.9"/>
    <x v="3"/>
  </r>
  <r>
    <n v="4"/>
    <s v="Maven Toys Saltillo 1"/>
    <x v="2"/>
    <n v="27"/>
    <s v="PlayDoh Toolkit"/>
    <x v="3"/>
    <n v="19"/>
    <n v="315"/>
    <n v="38.4"/>
    <x v="3"/>
  </r>
  <r>
    <n v="4"/>
    <s v="Maven Toys Saltillo 1"/>
    <x v="2"/>
    <n v="28"/>
    <s v="Playfoam"/>
    <x v="3"/>
    <n v="6"/>
    <n v="55"/>
    <n v="69.5"/>
    <x v="3"/>
  </r>
  <r>
    <n v="4"/>
    <s v="Maven Toys Saltillo 1"/>
    <x v="2"/>
    <n v="29"/>
    <s v="Plush Pony"/>
    <x v="0"/>
    <n v="20"/>
    <n v="107"/>
    <n v="119.1"/>
    <x v="3"/>
  </r>
  <r>
    <n v="4"/>
    <s v="Maven Toys Saltillo 1"/>
    <x v="2"/>
    <n v="23"/>
    <s v="Mr. Potatohead"/>
    <x v="0"/>
    <n v="26"/>
    <n v="192"/>
    <n v="86.3"/>
    <x v="3"/>
  </r>
  <r>
    <n v="3"/>
    <s v="Maven Toys Guadalajara 2"/>
    <x v="1"/>
    <n v="28"/>
    <s v="Playfoam"/>
    <x v="3"/>
    <n v="10"/>
    <n v="61"/>
    <n v="104.4"/>
    <x v="3"/>
  </r>
  <r>
    <n v="5"/>
    <s v="Maven Toys La Paz 1"/>
    <x v="2"/>
    <n v="7"/>
    <s v="Dart Gun"/>
    <x v="4"/>
    <n v="30"/>
    <n v="420"/>
    <n v="45.5"/>
    <x v="3"/>
  </r>
  <r>
    <n v="5"/>
    <s v="Maven Toys La Paz 1"/>
    <x v="2"/>
    <n v="10"/>
    <s v="Dinosaur Figures"/>
    <x v="0"/>
    <n v="39"/>
    <n v="399"/>
    <n v="62.3"/>
    <x v="3"/>
  </r>
  <r>
    <n v="5"/>
    <s v="Maven Toys La Paz 1"/>
    <x v="2"/>
    <n v="24"/>
    <s v="Nerf Gun"/>
    <x v="4"/>
    <n v="60"/>
    <n v="296"/>
    <n v="129.1"/>
    <x v="3"/>
  </r>
  <r>
    <n v="5"/>
    <s v="Maven Toys La Paz 1"/>
    <x v="2"/>
    <n v="29"/>
    <s v="Plush Pony"/>
    <x v="0"/>
    <n v="8"/>
    <n v="48"/>
    <n v="106.2"/>
    <x v="3"/>
  </r>
  <r>
    <n v="5"/>
    <s v="Maven Toys La Paz 1"/>
    <x v="2"/>
    <n v="30"/>
    <s v="Rubik's Cube"/>
    <x v="1"/>
    <n v="39"/>
    <n v="633"/>
    <n v="39.200000000000003"/>
    <x v="3"/>
  </r>
  <r>
    <n v="5"/>
    <s v="Maven Toys La Paz 1"/>
    <x v="2"/>
    <n v="31"/>
    <s v="Splash Balls"/>
    <x v="4"/>
    <n v="31"/>
    <n v="560"/>
    <n v="35.299999999999997"/>
    <x v="3"/>
  </r>
  <r>
    <n v="5"/>
    <s v="Maven Toys La Paz 1"/>
    <x v="2"/>
    <n v="32"/>
    <s v="Supersoaker Water Gun"/>
    <x v="4"/>
    <n v="10"/>
    <n v="144"/>
    <n v="44.2"/>
    <x v="3"/>
  </r>
  <r>
    <n v="5"/>
    <s v="Maven Toys La Paz 1"/>
    <x v="2"/>
    <n v="33"/>
    <s v="Teddy Bear"/>
    <x v="0"/>
    <n v="17"/>
    <n v="136"/>
    <n v="79.599999999999994"/>
    <x v="3"/>
  </r>
  <r>
    <n v="5"/>
    <s v="Maven Toys La Paz 1"/>
    <x v="2"/>
    <n v="34"/>
    <s v="Toy Robot"/>
    <x v="2"/>
    <n v="10"/>
    <n v="136"/>
    <n v="46.8"/>
    <x v="3"/>
  </r>
  <r>
    <n v="6"/>
    <s v="Maven Toys Mexicali 1"/>
    <x v="1"/>
    <n v="17"/>
    <s v="Kids Makeup Kit"/>
    <x v="3"/>
    <n v="22"/>
    <n v="285"/>
    <n v="49.2"/>
    <x v="3"/>
  </r>
  <r>
    <n v="6"/>
    <s v="Maven Toys Mexicali 1"/>
    <x v="1"/>
    <n v="4"/>
    <s v="Chutes &amp; Ladders"/>
    <x v="1"/>
    <n v="14"/>
    <n v="207"/>
    <n v="43.1"/>
    <x v="3"/>
  </r>
  <r>
    <n v="6"/>
    <s v="Maven Toys Mexicali 1"/>
    <x v="1"/>
    <n v="10"/>
    <s v="Dinosaur Figures"/>
    <x v="0"/>
    <n v="52"/>
    <n v="535"/>
    <n v="61.9"/>
    <x v="3"/>
  </r>
  <r>
    <n v="6"/>
    <s v="Maven Toys Mexicali 1"/>
    <x v="1"/>
    <n v="11"/>
    <s v="Etch A Sketch"/>
    <x v="3"/>
    <n v="20"/>
    <n v="215"/>
    <n v="59.3"/>
    <x v="3"/>
  </r>
  <r>
    <n v="5"/>
    <s v="Maven Toys La Paz 1"/>
    <x v="2"/>
    <n v="27"/>
    <s v="PlayDoh Toolkit"/>
    <x v="3"/>
    <n v="45"/>
    <n v="247"/>
    <n v="116.1"/>
    <x v="3"/>
  </r>
  <r>
    <n v="6"/>
    <s v="Maven Toys Mexicali 1"/>
    <x v="1"/>
    <n v="2"/>
    <s v="Animal Figures"/>
    <x v="0"/>
    <n v="47"/>
    <n v="465"/>
    <n v="64.400000000000006"/>
    <x v="3"/>
  </r>
  <r>
    <n v="11"/>
    <s v="Maven Toys Cuernavaca 1"/>
    <x v="2"/>
    <n v="12"/>
    <s v="Foam Disk Launcher"/>
    <x v="4"/>
    <n v="17"/>
    <n v="139"/>
    <n v="77.900000000000006"/>
    <x v="3"/>
  </r>
  <r>
    <n v="11"/>
    <s v="Maven Toys Cuernavaca 1"/>
    <x v="2"/>
    <n v="8"/>
    <s v="Deck Of Cards"/>
    <x v="1"/>
    <n v="64"/>
    <n v="1063"/>
    <n v="38.4"/>
    <x v="3"/>
  </r>
  <r>
    <n v="6"/>
    <s v="Maven Toys Mexicali 1"/>
    <x v="1"/>
    <n v="30"/>
    <s v="Rubik's Cube"/>
    <x v="1"/>
    <n v="67"/>
    <n v="600"/>
    <n v="71.099999999999994"/>
    <x v="3"/>
  </r>
  <r>
    <n v="10"/>
    <s v="Maven Toys Campeche 1"/>
    <x v="2"/>
    <n v="29"/>
    <s v="Plush Pony"/>
    <x v="0"/>
    <n v="12"/>
    <n v="99"/>
    <n v="77.2"/>
    <x v="3"/>
  </r>
  <r>
    <n v="11"/>
    <s v="Maven Toys Cuernavaca 1"/>
    <x v="2"/>
    <n v="6"/>
    <s v="Colorbuds"/>
    <x v="2"/>
    <n v="32"/>
    <n v="574"/>
    <n v="35.5"/>
    <x v="3"/>
  </r>
  <r>
    <n v="10"/>
    <s v="Maven Toys Campeche 1"/>
    <x v="2"/>
    <n v="32"/>
    <s v="Supersoaker Water Gun"/>
    <x v="4"/>
    <n v="13"/>
    <n v="171"/>
    <n v="48.4"/>
    <x v="3"/>
  </r>
  <r>
    <n v="10"/>
    <s v="Maven Toys Campeche 1"/>
    <x v="2"/>
    <n v="33"/>
    <s v="Teddy Bear"/>
    <x v="0"/>
    <n v="12"/>
    <n v="178"/>
    <n v="42.9"/>
    <x v="3"/>
  </r>
  <r>
    <n v="10"/>
    <s v="Maven Toys Campeche 1"/>
    <x v="2"/>
    <n v="34"/>
    <s v="Toy Robot"/>
    <x v="2"/>
    <n v="16"/>
    <n v="239"/>
    <n v="42.6"/>
    <x v="3"/>
  </r>
  <r>
    <n v="10"/>
    <s v="Maven Toys Campeche 1"/>
    <x v="2"/>
    <n v="27"/>
    <s v="PlayDoh Toolkit"/>
    <x v="3"/>
    <n v="24"/>
    <n v="330"/>
    <n v="46.3"/>
    <x v="3"/>
  </r>
  <r>
    <n v="10"/>
    <s v="Maven Toys Campeche 1"/>
    <x v="2"/>
    <n v="12"/>
    <s v="Foam Disk Launcher"/>
    <x v="4"/>
    <n v="15"/>
    <n v="167"/>
    <n v="57.2"/>
    <x v="3"/>
  </r>
  <r>
    <n v="10"/>
    <s v="Maven Toys Campeche 1"/>
    <x v="2"/>
    <n v="13"/>
    <s v="Gamer Headphones"/>
    <x v="2"/>
    <n v="17"/>
    <n v="151"/>
    <n v="71.7"/>
    <x v="3"/>
  </r>
  <r>
    <n v="10"/>
    <s v="Maven Toys Campeche 1"/>
    <x v="2"/>
    <n v="4"/>
    <s v="Chutes &amp; Ladders"/>
    <x v="1"/>
    <n v="17"/>
    <n v="144"/>
    <n v="75.2"/>
    <x v="3"/>
  </r>
  <r>
    <n v="10"/>
    <s v="Maven Toys Campeche 1"/>
    <x v="2"/>
    <n v="10"/>
    <s v="Dinosaur Figures"/>
    <x v="0"/>
    <n v="57"/>
    <n v="884"/>
    <n v="41.1"/>
    <x v="3"/>
  </r>
  <r>
    <n v="10"/>
    <s v="Maven Toys Campeche 1"/>
    <x v="2"/>
    <n v="2"/>
    <s v="Animal Figures"/>
    <x v="0"/>
    <n v="17"/>
    <n v="72"/>
    <n v="150.4"/>
    <x v="3"/>
  </r>
  <r>
    <n v="9"/>
    <s v="Maven Toys Ciudad de Mexico 1"/>
    <x v="2"/>
    <n v="28"/>
    <s v="Playfoam"/>
    <x v="3"/>
    <n v="9"/>
    <n v="36"/>
    <n v="159.30000000000001"/>
    <x v="3"/>
  </r>
  <r>
    <n v="9"/>
    <s v="Maven Toys Ciudad de Mexico 1"/>
    <x v="2"/>
    <n v="29"/>
    <s v="Plush Pony"/>
    <x v="0"/>
    <n v="8"/>
    <n v="137"/>
    <n v="37.200000000000003"/>
    <x v="3"/>
  </r>
  <r>
    <n v="9"/>
    <s v="Maven Toys Ciudad de Mexico 1"/>
    <x v="2"/>
    <n v="26"/>
    <s v="PlayDoh Playset"/>
    <x v="3"/>
    <n v="21"/>
    <n v="153"/>
    <n v="87.4"/>
    <x v="3"/>
  </r>
  <r>
    <n v="9"/>
    <s v="Maven Toys Ciudad de Mexico 1"/>
    <x v="2"/>
    <n v="22"/>
    <s v="Monopoly"/>
    <x v="1"/>
    <n v="9"/>
    <n v="114"/>
    <n v="50.3"/>
    <x v="3"/>
  </r>
  <r>
    <n v="9"/>
    <s v="Maven Toys Ciudad de Mexico 1"/>
    <x v="2"/>
    <n v="23"/>
    <s v="Mr. Potatohead"/>
    <x v="0"/>
    <n v="31"/>
    <n v="436"/>
    <n v="45.3"/>
    <x v="3"/>
  </r>
  <r>
    <n v="9"/>
    <s v="Maven Toys Ciudad de Mexico 1"/>
    <x v="2"/>
    <n v="13"/>
    <s v="Gamer Headphones"/>
    <x v="2"/>
    <n v="19"/>
    <n v="231"/>
    <n v="52.4"/>
    <x v="3"/>
  </r>
  <r>
    <n v="9"/>
    <s v="Maven Toys Ciudad de Mexico 1"/>
    <x v="2"/>
    <n v="20"/>
    <s v="Mini Basketball Hoop"/>
    <x v="4"/>
    <n v="4"/>
    <n v="64"/>
    <n v="39.799999999999997"/>
    <x v="3"/>
  </r>
  <r>
    <n v="9"/>
    <s v="Maven Toys Ciudad de Mexico 1"/>
    <x v="2"/>
    <n v="10"/>
    <s v="Dinosaur Figures"/>
    <x v="0"/>
    <n v="69"/>
    <n v="497"/>
    <n v="88.4"/>
    <x v="3"/>
  </r>
  <r>
    <n v="9"/>
    <s v="Maven Toys Ciudad de Mexico 1"/>
    <x v="2"/>
    <n v="4"/>
    <s v="Chutes &amp; Ladders"/>
    <x v="1"/>
    <n v="6"/>
    <n v="96"/>
    <n v="39.799999999999997"/>
    <x v="3"/>
  </r>
  <r>
    <n v="8"/>
    <s v="Maven Toys Pachuca 1"/>
    <x v="2"/>
    <n v="32"/>
    <s v="Supersoaker Water Gun"/>
    <x v="4"/>
    <n v="7"/>
    <n v="80"/>
    <n v="55.7"/>
    <x v="3"/>
  </r>
  <r>
    <n v="8"/>
    <s v="Maven Toys Pachuca 1"/>
    <x v="2"/>
    <n v="33"/>
    <s v="Teddy Bear"/>
    <x v="0"/>
    <n v="17"/>
    <n v="208"/>
    <n v="52.1"/>
    <x v="3"/>
  </r>
  <r>
    <n v="8"/>
    <s v="Maven Toys Pachuca 1"/>
    <x v="2"/>
    <n v="34"/>
    <s v="Toy Robot"/>
    <x v="2"/>
    <n v="18"/>
    <n v="160"/>
    <n v="71.7"/>
    <x v="3"/>
  </r>
  <r>
    <n v="8"/>
    <s v="Maven Toys Pachuca 1"/>
    <x v="2"/>
    <n v="35"/>
    <s v="Uno Card Game"/>
    <x v="1"/>
    <n v="8"/>
    <n v="78"/>
    <n v="65.3"/>
    <x v="3"/>
  </r>
  <r>
    <n v="6"/>
    <s v="Maven Toys Mexicali 1"/>
    <x v="1"/>
    <n v="32"/>
    <s v="Supersoaker Water Gun"/>
    <x v="4"/>
    <n v="7"/>
    <n v="42"/>
    <n v="106.2"/>
    <x v="3"/>
  </r>
  <r>
    <n v="6"/>
    <s v="Maven Toys Mexicali 1"/>
    <x v="1"/>
    <n v="33"/>
    <s v="Teddy Bear"/>
    <x v="0"/>
    <n v="7"/>
    <n v="127"/>
    <n v="35.1"/>
    <x v="3"/>
  </r>
  <r>
    <n v="7"/>
    <s v="Maven Toys Monterrey 2"/>
    <x v="2"/>
    <n v="5"/>
    <s v="Classic Dominoes"/>
    <x v="1"/>
    <n v="19"/>
    <n v="324"/>
    <n v="37.4"/>
    <x v="3"/>
  </r>
  <r>
    <n v="6"/>
    <s v="Maven Toys Mexicali 1"/>
    <x v="1"/>
    <n v="26"/>
    <s v="PlayDoh Playset"/>
    <x v="3"/>
    <n v="7"/>
    <n v="74"/>
    <n v="60.3"/>
    <x v="3"/>
  </r>
  <r>
    <n v="6"/>
    <s v="Maven Toys Mexicali 1"/>
    <x v="1"/>
    <n v="27"/>
    <s v="PlayDoh Toolkit"/>
    <x v="3"/>
    <n v="37"/>
    <n v="362"/>
    <n v="65.099999999999994"/>
    <x v="3"/>
  </r>
  <r>
    <n v="6"/>
    <s v="Maven Toys Mexicali 1"/>
    <x v="1"/>
    <n v="28"/>
    <s v="Playfoam"/>
    <x v="3"/>
    <n v="2"/>
    <n v="18"/>
    <n v="70.8"/>
    <x v="3"/>
  </r>
  <r>
    <n v="6"/>
    <s v="Maven Toys Mexicali 1"/>
    <x v="1"/>
    <n v="20"/>
    <s v="Mini Basketball Hoop"/>
    <x v="4"/>
    <n v="9"/>
    <n v="85"/>
    <n v="67.400000000000006"/>
    <x v="3"/>
  </r>
  <r>
    <n v="7"/>
    <s v="Maven Toys Monterrey 2"/>
    <x v="2"/>
    <n v="21"/>
    <s v="Mini Ping Pong Set"/>
    <x v="4"/>
    <n v="49"/>
    <n v="574"/>
    <n v="54.4"/>
    <x v="3"/>
  </r>
  <r>
    <n v="7"/>
    <s v="Maven Toys Monterrey 2"/>
    <x v="2"/>
    <n v="26"/>
    <s v="PlayDoh Playset"/>
    <x v="3"/>
    <n v="16"/>
    <n v="96"/>
    <n v="106.2"/>
    <x v="3"/>
  </r>
  <r>
    <n v="7"/>
    <s v="Maven Toys Monterrey 2"/>
    <x v="2"/>
    <n v="27"/>
    <s v="PlayDoh Toolkit"/>
    <x v="3"/>
    <n v="48"/>
    <n v="362"/>
    <n v="84.5"/>
    <x v="3"/>
  </r>
  <r>
    <n v="7"/>
    <s v="Maven Toys Monterrey 2"/>
    <x v="2"/>
    <n v="12"/>
    <s v="Foam Disk Launcher"/>
    <x v="4"/>
    <n v="38"/>
    <n v="235"/>
    <n v="103"/>
    <x v="3"/>
  </r>
  <r>
    <n v="7"/>
    <s v="Maven Toys Monterrey 2"/>
    <x v="2"/>
    <n v="35"/>
    <s v="Uno Card Game"/>
    <x v="1"/>
    <n v="17"/>
    <n v="121"/>
    <n v="89.5"/>
    <x v="3"/>
  </r>
  <r>
    <n v="7"/>
    <s v="Maven Toys Monterrey 2"/>
    <x v="2"/>
    <n v="29"/>
    <s v="Plush Pony"/>
    <x v="0"/>
    <n v="8"/>
    <n v="73"/>
    <n v="69.8"/>
    <x v="3"/>
  </r>
  <r>
    <n v="8"/>
    <s v="Maven Toys Pachuca 1"/>
    <x v="2"/>
    <n v="4"/>
    <s v="Chutes &amp; Ladders"/>
    <x v="1"/>
    <n v="18"/>
    <n v="125"/>
    <n v="91.7"/>
    <x v="3"/>
  </r>
  <r>
    <n v="8"/>
    <s v="Maven Toys Pachuca 1"/>
    <x v="2"/>
    <n v="5"/>
    <s v="Classic Dominoes"/>
    <x v="1"/>
    <n v="10"/>
    <n v="100"/>
    <n v="63.7"/>
    <x v="3"/>
  </r>
  <r>
    <n v="8"/>
    <s v="Maven Toys Pachuca 1"/>
    <x v="2"/>
    <n v="10"/>
    <s v="Dinosaur Figures"/>
    <x v="0"/>
    <n v="54"/>
    <n v="216"/>
    <n v="159.30000000000001"/>
    <x v="3"/>
  </r>
  <r>
    <n v="8"/>
    <s v="Maven Toys Pachuca 1"/>
    <x v="2"/>
    <n v="26"/>
    <s v="PlayDoh Playset"/>
    <x v="3"/>
    <n v="20"/>
    <n v="188"/>
    <n v="67.8"/>
    <x v="3"/>
  </r>
  <r>
    <n v="8"/>
    <s v="Maven Toys Pachuca 1"/>
    <x v="2"/>
    <n v="27"/>
    <s v="PlayDoh Toolkit"/>
    <x v="3"/>
    <n v="47"/>
    <n v="267"/>
    <n v="112.1"/>
    <x v="3"/>
  </r>
  <r>
    <n v="8"/>
    <s v="Maven Toys Pachuca 1"/>
    <x v="2"/>
    <n v="22"/>
    <s v="Monopoly"/>
    <x v="1"/>
    <n v="13"/>
    <n v="82"/>
    <n v="101"/>
    <x v="3"/>
  </r>
  <r>
    <n v="8"/>
    <s v="Maven Toys Pachuca 1"/>
    <x v="2"/>
    <n v="20"/>
    <s v="Mini Basketball Hoop"/>
    <x v="4"/>
    <n v="5"/>
    <n v="69"/>
    <n v="46.2"/>
    <x v="3"/>
  </r>
  <r>
    <n v="8"/>
    <s v="Maven Toys Pachuca 1"/>
    <x v="2"/>
    <n v="16"/>
    <s v="Jenga"/>
    <x v="1"/>
    <n v="8"/>
    <n v="92"/>
    <n v="55.4"/>
    <x v="3"/>
  </r>
  <r>
    <n v="17"/>
    <s v="Maven Toys Toluca 1"/>
    <x v="2"/>
    <n v="32"/>
    <s v="Supersoaker Water Gun"/>
    <x v="4"/>
    <n v="15"/>
    <n v="173"/>
    <n v="55.2"/>
    <x v="3"/>
  </r>
  <r>
    <n v="17"/>
    <s v="Maven Toys Toluca 1"/>
    <x v="2"/>
    <n v="33"/>
    <s v="Teddy Bear"/>
    <x v="0"/>
    <n v="27"/>
    <n v="246"/>
    <n v="69.900000000000006"/>
    <x v="3"/>
  </r>
  <r>
    <n v="17"/>
    <s v="Maven Toys Toluca 1"/>
    <x v="2"/>
    <n v="29"/>
    <s v="Plush Pony"/>
    <x v="0"/>
    <n v="16"/>
    <n v="222"/>
    <n v="45.9"/>
    <x v="3"/>
  </r>
  <r>
    <n v="17"/>
    <s v="Maven Toys Toluca 1"/>
    <x v="2"/>
    <n v="26"/>
    <s v="PlayDoh Playset"/>
    <x v="3"/>
    <n v="25"/>
    <n v="223"/>
    <n v="71.400000000000006"/>
    <x v="3"/>
  </r>
  <r>
    <n v="17"/>
    <s v="Maven Toys Toluca 1"/>
    <x v="2"/>
    <n v="21"/>
    <s v="Mini Ping Pong Set"/>
    <x v="4"/>
    <n v="27"/>
    <n v="315"/>
    <n v="54.6"/>
    <x v="3"/>
  </r>
  <r>
    <n v="17"/>
    <s v="Maven Toys Toluca 1"/>
    <x v="2"/>
    <n v="23"/>
    <s v="Mr. Potatohead"/>
    <x v="0"/>
    <n v="13"/>
    <n v="177"/>
    <n v="46.8"/>
    <x v="3"/>
  </r>
  <r>
    <n v="17"/>
    <s v="Maven Toys Toluca 1"/>
    <x v="2"/>
    <n v="10"/>
    <s v="Dinosaur Figures"/>
    <x v="0"/>
    <n v="67"/>
    <n v="561"/>
    <n v="76.099999999999994"/>
    <x v="3"/>
  </r>
  <r>
    <n v="16"/>
    <s v="Maven Toys San Luis Potosi 1"/>
    <x v="2"/>
    <n v="35"/>
    <s v="Uno Card Game"/>
    <x v="1"/>
    <n v="6"/>
    <n v="60"/>
    <n v="63.7"/>
    <x v="3"/>
  </r>
  <r>
    <n v="16"/>
    <s v="Maven Toys San Luis Potosi 1"/>
    <x v="2"/>
    <n v="32"/>
    <s v="Supersoaker Water Gun"/>
    <x v="4"/>
    <n v="7"/>
    <n v="87"/>
    <n v="51.3"/>
    <x v="3"/>
  </r>
  <r>
    <n v="12"/>
    <s v="Maven Toys Chetumal 1"/>
    <x v="2"/>
    <n v="24"/>
    <s v="Nerf Gun"/>
    <x v="4"/>
    <n v="34"/>
    <n v="542"/>
    <n v="40"/>
    <x v="3"/>
  </r>
  <r>
    <n v="16"/>
    <s v="Maven Toys San Luis Potosi 1"/>
    <x v="2"/>
    <n v="29"/>
    <s v="Plush Pony"/>
    <x v="0"/>
    <n v="7"/>
    <n v="79"/>
    <n v="56.4"/>
    <x v="3"/>
  </r>
  <r>
    <n v="16"/>
    <s v="Maven Toys San Luis Potosi 1"/>
    <x v="2"/>
    <n v="30"/>
    <s v="Rubik's Cube"/>
    <x v="1"/>
    <n v="49"/>
    <n v="716"/>
    <n v="43.6"/>
    <x v="3"/>
  </r>
  <r>
    <n v="18"/>
    <s v="Maven Toys Merida 1"/>
    <x v="2"/>
    <n v="21"/>
    <s v="Mini Ping Pong Set"/>
    <x v="4"/>
    <n v="29"/>
    <n v="367"/>
    <n v="50.3"/>
    <x v="3"/>
  </r>
  <r>
    <n v="18"/>
    <s v="Maven Toys Merida 1"/>
    <x v="2"/>
    <n v="22"/>
    <s v="Monopoly"/>
    <x v="1"/>
    <n v="18"/>
    <n v="206"/>
    <n v="55.7"/>
    <x v="3"/>
  </r>
  <r>
    <n v="18"/>
    <s v="Maven Toys Merida 1"/>
    <x v="2"/>
    <n v="23"/>
    <s v="Mr. Potatohead"/>
    <x v="0"/>
    <n v="16"/>
    <n v="82"/>
    <n v="124.3"/>
    <x v="3"/>
  </r>
  <r>
    <n v="18"/>
    <s v="Maven Toys Merida 1"/>
    <x v="2"/>
    <n v="24"/>
    <s v="Nerf Gun"/>
    <x v="4"/>
    <n v="26"/>
    <n v="342"/>
    <n v="48.4"/>
    <x v="3"/>
  </r>
  <r>
    <n v="18"/>
    <s v="Maven Toys Merida 1"/>
    <x v="2"/>
    <n v="9"/>
    <s v="Dino Egg"/>
    <x v="0"/>
    <n v="50"/>
    <n v="483"/>
    <n v="65.900000000000006"/>
    <x v="3"/>
  </r>
  <r>
    <n v="18"/>
    <s v="Maven Toys Merida 1"/>
    <x v="2"/>
    <n v="10"/>
    <s v="Dinosaur Figures"/>
    <x v="0"/>
    <n v="16"/>
    <n v="196"/>
    <n v="52"/>
    <x v="3"/>
  </r>
  <r>
    <n v="18"/>
    <s v="Maven Toys Merida 1"/>
    <x v="2"/>
    <n v="11"/>
    <s v="Etch A Sketch"/>
    <x v="3"/>
    <n v="12"/>
    <n v="123"/>
    <n v="62.1"/>
    <x v="3"/>
  </r>
  <r>
    <n v="18"/>
    <s v="Maven Toys Merida 1"/>
    <x v="2"/>
    <n v="12"/>
    <s v="Foam Disk Launcher"/>
    <x v="4"/>
    <n v="3"/>
    <n v="33"/>
    <n v="57.9"/>
    <x v="3"/>
  </r>
  <r>
    <n v="18"/>
    <s v="Maven Toys Merida 1"/>
    <x v="2"/>
    <n v="13"/>
    <s v="Gamer Headphones"/>
    <x v="2"/>
    <n v="30"/>
    <n v="296"/>
    <n v="64.599999999999994"/>
    <x v="3"/>
  </r>
  <r>
    <n v="18"/>
    <s v="Maven Toys Merida 1"/>
    <x v="2"/>
    <n v="14"/>
    <s v="Glass Marbles"/>
    <x v="1"/>
    <n v="67"/>
    <n v="334"/>
    <n v="127.8"/>
    <x v="3"/>
  </r>
  <r>
    <n v="18"/>
    <s v="Maven Toys Merida 1"/>
    <x v="2"/>
    <n v="32"/>
    <s v="Supersoaker Water Gun"/>
    <x v="4"/>
    <n v="9"/>
    <n v="104"/>
    <n v="55.1"/>
    <x v="3"/>
  </r>
  <r>
    <n v="18"/>
    <s v="Maven Toys Merida 1"/>
    <x v="2"/>
    <n v="4"/>
    <s v="Chutes &amp; Ladders"/>
    <x v="1"/>
    <n v="10"/>
    <n v="169"/>
    <n v="37.700000000000003"/>
    <x v="3"/>
  </r>
  <r>
    <n v="18"/>
    <s v="Maven Toys Merida 1"/>
    <x v="2"/>
    <n v="27"/>
    <s v="PlayDoh Toolkit"/>
    <x v="3"/>
    <n v="40"/>
    <n v="318"/>
    <n v="80.099999999999994"/>
    <x v="3"/>
  </r>
  <r>
    <n v="19"/>
    <s v="Maven Toys Puebla 1"/>
    <x v="1"/>
    <n v="10"/>
    <s v="Dinosaur Figures"/>
    <x v="0"/>
    <n v="45"/>
    <n v="286"/>
    <n v="100.2"/>
    <x v="3"/>
  </r>
  <r>
    <n v="19"/>
    <s v="Maven Toys Puebla 1"/>
    <x v="1"/>
    <n v="23"/>
    <s v="Mr. Potatohead"/>
    <x v="0"/>
    <n v="10"/>
    <n v="168"/>
    <n v="37.9"/>
    <x v="3"/>
  </r>
  <r>
    <n v="18"/>
    <s v="Maven Toys Merida 1"/>
    <x v="2"/>
    <n v="35"/>
    <s v="Uno Card Game"/>
    <x v="1"/>
    <n v="10"/>
    <n v="152"/>
    <n v="41.9"/>
    <x v="3"/>
  </r>
  <r>
    <n v="19"/>
    <s v="Maven Toys Puebla 1"/>
    <x v="1"/>
    <n v="20"/>
    <s v="Mini Basketball Hoop"/>
    <x v="4"/>
    <n v="11"/>
    <n v="60"/>
    <n v="116.8"/>
    <x v="3"/>
  </r>
  <r>
    <n v="19"/>
    <s v="Maven Toys Puebla 1"/>
    <x v="1"/>
    <n v="21"/>
    <s v="Mini Ping Pong Set"/>
    <x v="4"/>
    <n v="24"/>
    <n v="140"/>
    <n v="109.2"/>
    <x v="3"/>
  </r>
  <r>
    <n v="20"/>
    <s v="Maven Toys Zacatecas 1"/>
    <x v="2"/>
    <n v="13"/>
    <s v="Gamer Headphones"/>
    <x v="2"/>
    <n v="11"/>
    <n v="159"/>
    <n v="44.1"/>
    <x v="3"/>
  </r>
  <r>
    <n v="20"/>
    <s v="Maven Toys Zacatecas 1"/>
    <x v="2"/>
    <n v="8"/>
    <s v="Deck Of Cards"/>
    <x v="1"/>
    <n v="26"/>
    <n v="471"/>
    <n v="35.200000000000003"/>
    <x v="3"/>
  </r>
  <r>
    <n v="19"/>
    <s v="Maven Toys Puebla 1"/>
    <x v="1"/>
    <n v="28"/>
    <s v="Playfoam"/>
    <x v="3"/>
    <n v="6"/>
    <n v="26"/>
    <n v="147"/>
    <x v="3"/>
  </r>
  <r>
    <n v="19"/>
    <s v="Maven Toys Puebla 1"/>
    <x v="1"/>
    <n v="29"/>
    <s v="Plush Pony"/>
    <x v="0"/>
    <n v="29"/>
    <n v="128"/>
    <n v="144.30000000000001"/>
    <x v="3"/>
  </r>
  <r>
    <n v="19"/>
    <s v="Maven Toys Puebla 1"/>
    <x v="1"/>
    <n v="34"/>
    <s v="Toy Robot"/>
    <x v="2"/>
    <n v="15"/>
    <n v="206"/>
    <n v="46.4"/>
    <x v="3"/>
  </r>
  <r>
    <n v="19"/>
    <s v="Maven Toys Puebla 1"/>
    <x v="1"/>
    <n v="35"/>
    <s v="Uno Card Game"/>
    <x v="1"/>
    <n v="14"/>
    <n v="70"/>
    <n v="127.4"/>
    <x v="3"/>
  </r>
  <r>
    <n v="21"/>
    <s v="Maven Toys Santiago 1"/>
    <x v="2"/>
    <n v="26"/>
    <s v="PlayDoh Playset"/>
    <x v="3"/>
    <n v="21"/>
    <n v="160"/>
    <n v="83.6"/>
    <x v="3"/>
  </r>
  <r>
    <n v="21"/>
    <s v="Maven Toys Santiago 1"/>
    <x v="2"/>
    <n v="27"/>
    <s v="PlayDoh Toolkit"/>
    <x v="3"/>
    <n v="54"/>
    <n v="404"/>
    <n v="85.1"/>
    <x v="3"/>
  </r>
  <r>
    <n v="21"/>
    <s v="Maven Toys Santiago 1"/>
    <x v="2"/>
    <n v="28"/>
    <s v="Playfoam"/>
    <x v="3"/>
    <n v="7"/>
    <n v="50"/>
    <n v="89.2"/>
    <x v="3"/>
  </r>
  <r>
    <n v="20"/>
    <s v="Maven Toys Zacatecas 1"/>
    <x v="2"/>
    <n v="32"/>
    <s v="Supersoaker Water Gun"/>
    <x v="4"/>
    <n v="9"/>
    <n v="163"/>
    <n v="35.200000000000003"/>
    <x v="3"/>
  </r>
  <r>
    <n v="20"/>
    <s v="Maven Toys Zacatecas 1"/>
    <x v="2"/>
    <n v="33"/>
    <s v="Teddy Bear"/>
    <x v="0"/>
    <n v="28"/>
    <n v="192"/>
    <n v="92.9"/>
    <x v="3"/>
  </r>
  <r>
    <n v="20"/>
    <s v="Maven Toys Zacatecas 1"/>
    <x v="2"/>
    <n v="34"/>
    <s v="Toy Robot"/>
    <x v="2"/>
    <n v="19"/>
    <n v="160"/>
    <n v="75.599999999999994"/>
    <x v="3"/>
  </r>
  <r>
    <n v="21"/>
    <s v="Maven Toys Santiago 1"/>
    <x v="2"/>
    <n v="23"/>
    <s v="Mr. Potatohead"/>
    <x v="0"/>
    <n v="30"/>
    <n v="181"/>
    <n v="105.6"/>
    <x v="3"/>
  </r>
  <r>
    <n v="21"/>
    <s v="Maven Toys Santiago 1"/>
    <x v="2"/>
    <n v="24"/>
    <s v="Nerf Gun"/>
    <x v="4"/>
    <n v="19"/>
    <n v="292"/>
    <n v="41.4"/>
    <x v="3"/>
  </r>
  <r>
    <n v="21"/>
    <s v="Maven Toys Santiago 1"/>
    <x v="2"/>
    <n v="12"/>
    <s v="Foam Disk Launcher"/>
    <x v="4"/>
    <n v="21"/>
    <n v="109"/>
    <n v="122.7"/>
    <x v="3"/>
  </r>
  <r>
    <n v="20"/>
    <s v="Maven Toys Zacatecas 1"/>
    <x v="2"/>
    <n v="15"/>
    <s v="Hot Wheels 5-Pack"/>
    <x v="0"/>
    <n v="36"/>
    <n v="311"/>
    <n v="73.7"/>
    <x v="3"/>
  </r>
  <r>
    <n v="20"/>
    <s v="Maven Toys Zacatecas 1"/>
    <x v="2"/>
    <n v="17"/>
    <s v="Kids Makeup Kit"/>
    <x v="3"/>
    <n v="23"/>
    <n v="417"/>
    <n v="35.1"/>
    <x v="3"/>
  </r>
  <r>
    <n v="20"/>
    <s v="Maven Toys Zacatecas 1"/>
    <x v="2"/>
    <n v="23"/>
    <s v="Mr. Potatohead"/>
    <x v="0"/>
    <n v="12"/>
    <n v="140"/>
    <n v="54.6"/>
    <x v="3"/>
  </r>
  <r>
    <n v="12"/>
    <s v="Maven Toys Chetumal 1"/>
    <x v="2"/>
    <n v="4"/>
    <s v="Chutes &amp; Ladders"/>
    <x v="1"/>
    <n v="8"/>
    <n v="127"/>
    <n v="40.1"/>
    <x v="3"/>
  </r>
  <r>
    <n v="12"/>
    <s v="Maven Toys Chetumal 1"/>
    <x v="2"/>
    <n v="5"/>
    <s v="Classic Dominoes"/>
    <x v="1"/>
    <n v="17"/>
    <n v="179"/>
    <n v="60.5"/>
    <x v="3"/>
  </r>
  <r>
    <n v="11"/>
    <s v="Maven Toys Cuernavaca 1"/>
    <x v="2"/>
    <n v="33"/>
    <s v="Teddy Bear"/>
    <x v="0"/>
    <n v="6"/>
    <n v="76"/>
    <n v="50.3"/>
    <x v="3"/>
  </r>
  <r>
    <n v="11"/>
    <s v="Maven Toys Cuernavaca 1"/>
    <x v="2"/>
    <n v="26"/>
    <s v="PlayDoh Playset"/>
    <x v="3"/>
    <n v="10"/>
    <n v="135"/>
    <n v="47.2"/>
    <x v="3"/>
  </r>
  <r>
    <n v="11"/>
    <s v="Maven Toys Cuernavaca 1"/>
    <x v="2"/>
    <n v="27"/>
    <s v="PlayDoh Toolkit"/>
    <x v="3"/>
    <n v="28"/>
    <n v="373"/>
    <n v="47.8"/>
    <x v="3"/>
  </r>
  <r>
    <n v="11"/>
    <s v="Maven Toys Cuernavaca 1"/>
    <x v="2"/>
    <n v="28"/>
    <s v="Playfoam"/>
    <x v="3"/>
    <n v="11"/>
    <n v="85"/>
    <n v="82.4"/>
    <x v="3"/>
  </r>
  <r>
    <n v="12"/>
    <s v="Maven Toys Chetumal 1"/>
    <x v="2"/>
    <n v="11"/>
    <s v="Etch A Sketch"/>
    <x v="3"/>
    <n v="8"/>
    <n v="141"/>
    <n v="36.1"/>
    <x v="3"/>
  </r>
  <r>
    <n v="12"/>
    <s v="Maven Toys Chetumal 1"/>
    <x v="2"/>
    <n v="12"/>
    <s v="Foam Disk Launcher"/>
    <x v="4"/>
    <n v="10"/>
    <n v="81"/>
    <n v="78.599999999999994"/>
    <x v="3"/>
  </r>
  <r>
    <n v="12"/>
    <s v="Maven Toys Chetumal 1"/>
    <x v="2"/>
    <n v="13"/>
    <s v="Gamer Headphones"/>
    <x v="2"/>
    <n v="15"/>
    <n v="251"/>
    <n v="38.1"/>
    <x v="3"/>
  </r>
  <r>
    <n v="11"/>
    <s v="Maven Toys Cuernavaca 1"/>
    <x v="2"/>
    <n v="23"/>
    <s v="Mr. Potatohead"/>
    <x v="0"/>
    <n v="23"/>
    <n v="371"/>
    <n v="39.5"/>
    <x v="3"/>
  </r>
  <r>
    <n v="11"/>
    <s v="Maven Toys Cuernavaca 1"/>
    <x v="2"/>
    <n v="24"/>
    <s v="Nerf Gun"/>
    <x v="4"/>
    <n v="39"/>
    <n v="470"/>
    <n v="52.9"/>
    <x v="3"/>
  </r>
  <r>
    <n v="12"/>
    <s v="Maven Toys Chetumal 1"/>
    <x v="2"/>
    <n v="32"/>
    <s v="Supersoaker Water Gun"/>
    <x v="4"/>
    <n v="9"/>
    <n v="104"/>
    <n v="55.1"/>
    <x v="3"/>
  </r>
  <r>
    <n v="12"/>
    <s v="Maven Toys Chetumal 1"/>
    <x v="2"/>
    <n v="33"/>
    <s v="Teddy Bear"/>
    <x v="0"/>
    <n v="5"/>
    <n v="62"/>
    <n v="51.4"/>
    <x v="3"/>
  </r>
  <r>
    <n v="12"/>
    <s v="Maven Toys Chetumal 1"/>
    <x v="2"/>
    <n v="34"/>
    <s v="Toy Robot"/>
    <x v="2"/>
    <n v="9"/>
    <n v="89"/>
    <n v="64.400000000000006"/>
    <x v="3"/>
  </r>
  <r>
    <n v="12"/>
    <s v="Maven Toys Chetumal 1"/>
    <x v="2"/>
    <n v="35"/>
    <s v="Uno Card Game"/>
    <x v="1"/>
    <n v="9"/>
    <n v="66"/>
    <n v="86.9"/>
    <x v="3"/>
  </r>
  <r>
    <n v="12"/>
    <s v="Maven Toys Chetumal 1"/>
    <x v="2"/>
    <n v="27"/>
    <s v="PlayDoh Toolkit"/>
    <x v="3"/>
    <n v="36"/>
    <n v="371"/>
    <n v="61.8"/>
    <x v="3"/>
  </r>
  <r>
    <n v="13"/>
    <s v="Maven Toys Mexicali 2"/>
    <x v="2"/>
    <n v="10"/>
    <s v="Dinosaur Figures"/>
    <x v="0"/>
    <n v="84"/>
    <n v="1096"/>
    <n v="48.8"/>
    <x v="3"/>
  </r>
  <r>
    <n v="12"/>
    <s v="Maven Toys Chetumal 1"/>
    <x v="2"/>
    <n v="29"/>
    <s v="Plush Pony"/>
    <x v="0"/>
    <n v="19"/>
    <n v="100"/>
    <n v="121"/>
    <x v="3"/>
  </r>
  <r>
    <n v="12"/>
    <s v="Maven Toys Chetumal 1"/>
    <x v="2"/>
    <n v="30"/>
    <s v="Rubik's Cube"/>
    <x v="1"/>
    <n v="45"/>
    <n v="684"/>
    <n v="41.9"/>
    <x v="3"/>
  </r>
  <r>
    <n v="13"/>
    <s v="Maven Toys Mexicali 2"/>
    <x v="2"/>
    <n v="23"/>
    <s v="Mr. Potatohead"/>
    <x v="0"/>
    <n v="6"/>
    <n v="63"/>
    <n v="60.7"/>
    <x v="3"/>
  </r>
  <r>
    <n v="13"/>
    <s v="Maven Toys Mexicali 2"/>
    <x v="2"/>
    <n v="19"/>
    <s v="Magic Sand"/>
    <x v="3"/>
    <n v="49"/>
    <n v="610"/>
    <n v="51.2"/>
    <x v="3"/>
  </r>
  <r>
    <n v="13"/>
    <s v="Maven Toys Mexicali 2"/>
    <x v="2"/>
    <n v="15"/>
    <s v="Hot Wheels 5-Pack"/>
    <x v="0"/>
    <n v="27"/>
    <n v="441"/>
    <n v="39"/>
    <x v="3"/>
  </r>
  <r>
    <n v="13"/>
    <s v="Maven Toys Mexicali 2"/>
    <x v="2"/>
    <n v="27"/>
    <s v="PlayDoh Toolkit"/>
    <x v="3"/>
    <n v="56"/>
    <n v="398"/>
    <n v="89.6"/>
    <x v="3"/>
  </r>
  <r>
    <n v="13"/>
    <s v="Maven Toys Mexicali 2"/>
    <x v="2"/>
    <n v="32"/>
    <s v="Supersoaker Water Gun"/>
    <x v="4"/>
    <n v="7"/>
    <n v="48"/>
    <n v="92.9"/>
    <x v="3"/>
  </r>
  <r>
    <n v="14"/>
    <s v="Maven Toys Guanajuato 1"/>
    <x v="2"/>
    <n v="19"/>
    <s v="Magic Sand"/>
    <x v="3"/>
    <n v="23"/>
    <n v="368"/>
    <n v="39.799999999999997"/>
    <x v="3"/>
  </r>
  <r>
    <n v="14"/>
    <s v="Maven Toys Guanajuato 1"/>
    <x v="2"/>
    <n v="23"/>
    <s v="Mr. Potatohead"/>
    <x v="0"/>
    <n v="4"/>
    <n v="64"/>
    <n v="39.799999999999997"/>
    <x v="3"/>
  </r>
  <r>
    <n v="15"/>
    <s v="Maven Toys Tuxtla Gutierrez 1"/>
    <x v="2"/>
    <n v="10"/>
    <s v="Dinosaur Figures"/>
    <x v="0"/>
    <n v="39"/>
    <n v="476"/>
    <n v="52.2"/>
    <x v="3"/>
  </r>
  <r>
    <n v="14"/>
    <s v="Maven Toys Guanajuato 1"/>
    <x v="2"/>
    <n v="34"/>
    <s v="Toy Robot"/>
    <x v="2"/>
    <n v="8"/>
    <n v="40"/>
    <n v="127.4"/>
    <x v="3"/>
  </r>
  <r>
    <n v="15"/>
    <s v="Maven Toys Tuxtla Gutierrez 1"/>
    <x v="2"/>
    <n v="17"/>
    <s v="Kids Makeup Kit"/>
    <x v="3"/>
    <n v="24"/>
    <n v="297"/>
    <n v="51.5"/>
    <x v="3"/>
  </r>
  <r>
    <n v="15"/>
    <s v="Maven Toys Tuxtla Gutierrez 1"/>
    <x v="2"/>
    <n v="18"/>
    <s v="Lego Bricks"/>
    <x v="0"/>
    <n v="34"/>
    <n v="191"/>
    <n v="113.4"/>
    <x v="3"/>
  </r>
  <r>
    <n v="16"/>
    <s v="Maven Toys San Luis Potosi 1"/>
    <x v="2"/>
    <n v="21"/>
    <s v="Mini Ping Pong Set"/>
    <x v="4"/>
    <n v="54"/>
    <n v="528"/>
    <n v="65.099999999999994"/>
    <x v="3"/>
  </r>
  <r>
    <n v="16"/>
    <s v="Maven Toys San Luis Potosi 1"/>
    <x v="2"/>
    <n v="22"/>
    <s v="Monopoly"/>
    <x v="1"/>
    <n v="9"/>
    <n v="52"/>
    <n v="110.3"/>
    <x v="3"/>
  </r>
  <r>
    <n v="16"/>
    <s v="Maven Toys San Luis Potosi 1"/>
    <x v="2"/>
    <n v="16"/>
    <s v="Jenga"/>
    <x v="1"/>
    <n v="14"/>
    <n v="186"/>
    <n v="47.9"/>
    <x v="3"/>
  </r>
  <r>
    <n v="16"/>
    <s v="Maven Toys San Luis Potosi 1"/>
    <x v="2"/>
    <n v="12"/>
    <s v="Foam Disk Launcher"/>
    <x v="4"/>
    <n v="12"/>
    <n v="109"/>
    <n v="70.099999999999994"/>
    <x v="3"/>
  </r>
  <r>
    <n v="15"/>
    <s v="Maven Toys Tuxtla Gutierrez 1"/>
    <x v="2"/>
    <n v="32"/>
    <s v="Supersoaker Water Gun"/>
    <x v="4"/>
    <n v="16"/>
    <n v="100"/>
    <n v="101.9"/>
    <x v="3"/>
  </r>
  <r>
    <n v="16"/>
    <s v="Maven Toys San Luis Potosi 1"/>
    <x v="2"/>
    <n v="4"/>
    <s v="Chutes &amp; Ladders"/>
    <x v="1"/>
    <n v="7"/>
    <n v="72"/>
    <n v="61.9"/>
    <x v="3"/>
  </r>
  <r>
    <n v="16"/>
    <s v="Maven Toys San Luis Potosi 1"/>
    <x v="2"/>
    <n v="5"/>
    <s v="Classic Dominoes"/>
    <x v="1"/>
    <n v="14"/>
    <n v="85"/>
    <n v="104.9"/>
    <x v="3"/>
  </r>
  <r>
    <n v="15"/>
    <s v="Maven Toys Tuxtla Gutierrez 1"/>
    <x v="2"/>
    <n v="28"/>
    <s v="Playfoam"/>
    <x v="3"/>
    <n v="2"/>
    <n v="33"/>
    <n v="38.6"/>
    <x v="3"/>
  </r>
  <r>
    <n v="15"/>
    <s v="Maven Toys Tuxtla Gutierrez 1"/>
    <x v="2"/>
    <n v="29"/>
    <s v="Plush Pony"/>
    <x v="0"/>
    <n v="13"/>
    <n v="103"/>
    <n v="80.400000000000006"/>
    <x v="3"/>
  </r>
  <r>
    <n v="15"/>
    <s v="Maven Toys Tuxtla Gutierrez 1"/>
    <x v="2"/>
    <n v="26"/>
    <s v="PlayDoh Playset"/>
    <x v="3"/>
    <n v="17"/>
    <n v="89"/>
    <n v="121.7"/>
    <x v="3"/>
  </r>
  <r>
    <n v="15"/>
    <s v="Maven Toys Tuxtla Gutierrez 1"/>
    <x v="2"/>
    <n v="23"/>
    <s v="Mr. Potatohead"/>
    <x v="0"/>
    <n v="18"/>
    <n v="119"/>
    <n v="96.4"/>
    <x v="3"/>
  </r>
  <r>
    <n v="14"/>
    <s v="Maven Toys Guanajuato 1"/>
    <x v="2"/>
    <n v="27"/>
    <s v="PlayDoh Toolkit"/>
    <x v="3"/>
    <n v="34"/>
    <n v="293"/>
    <n v="73.900000000000006"/>
    <x v="3"/>
  </r>
  <r>
    <n v="14"/>
    <s v="Maven Toys Guanajuato 1"/>
    <x v="2"/>
    <n v="28"/>
    <s v="Playfoam"/>
    <x v="3"/>
    <n v="22"/>
    <n v="63"/>
    <n v="222.4"/>
    <x v="4"/>
  </r>
  <r>
    <n v="16"/>
    <s v="Maven Toys San Luis Potosi 1"/>
    <x v="2"/>
    <n v="10"/>
    <s v="Dinosaur Figures"/>
    <x v="0"/>
    <n v="43"/>
    <n v="39"/>
    <n v="702.3"/>
    <x v="4"/>
  </r>
  <r>
    <n v="16"/>
    <s v="Maven Toys San Luis Potosi 1"/>
    <x v="2"/>
    <n v="26"/>
    <s v="PlayDoh Playset"/>
    <x v="3"/>
    <n v="19"/>
    <n v="65"/>
    <n v="186.2"/>
    <x v="4"/>
  </r>
  <r>
    <n v="15"/>
    <s v="Maven Toys Tuxtla Gutierrez 1"/>
    <x v="2"/>
    <n v="11"/>
    <s v="Etch A Sketch"/>
    <x v="3"/>
    <n v="28"/>
    <n v="55"/>
    <n v="324.3"/>
    <x v="4"/>
  </r>
  <r>
    <n v="12"/>
    <s v="Maven Toys Chetumal 1"/>
    <x v="2"/>
    <n v="28"/>
    <s v="Playfoam"/>
    <x v="3"/>
    <n v="10"/>
    <n v="24"/>
    <n v="265.39999999999998"/>
    <x v="4"/>
  </r>
  <r>
    <n v="12"/>
    <s v="Maven Toys Chetumal 1"/>
    <x v="2"/>
    <n v="26"/>
    <s v="PlayDoh Playset"/>
    <x v="3"/>
    <n v="20"/>
    <n v="61"/>
    <n v="208.9"/>
    <x v="4"/>
  </r>
  <r>
    <n v="12"/>
    <s v="Maven Toys Chetumal 1"/>
    <x v="2"/>
    <n v="23"/>
    <s v="Mr. Potatohead"/>
    <x v="0"/>
    <n v="15"/>
    <n v="29"/>
    <n v="329.5"/>
    <x v="4"/>
  </r>
  <r>
    <n v="12"/>
    <s v="Maven Toys Chetumal 1"/>
    <x v="2"/>
    <n v="20"/>
    <s v="Mini Basketball Hoop"/>
    <x v="4"/>
    <n v="15"/>
    <n v="46"/>
    <n v="207.7"/>
    <x v="4"/>
  </r>
  <r>
    <n v="20"/>
    <s v="Maven Toys Zacatecas 1"/>
    <x v="2"/>
    <n v="26"/>
    <s v="PlayDoh Playset"/>
    <x v="3"/>
    <n v="12"/>
    <n v="13"/>
    <n v="588"/>
    <x v="4"/>
  </r>
  <r>
    <n v="18"/>
    <s v="Maven Toys Merida 1"/>
    <x v="2"/>
    <n v="29"/>
    <s v="Plush Pony"/>
    <x v="0"/>
    <n v="28"/>
    <n v="93"/>
    <n v="191.8"/>
    <x v="4"/>
  </r>
  <r>
    <n v="18"/>
    <s v="Maven Toys Merida 1"/>
    <x v="2"/>
    <n v="33"/>
    <s v="Teddy Bear"/>
    <x v="0"/>
    <n v="9"/>
    <n v="21"/>
    <n v="273"/>
    <x v="4"/>
  </r>
  <r>
    <n v="19"/>
    <s v="Maven Toys Puebla 1"/>
    <x v="1"/>
    <n v="4"/>
    <s v="Chutes &amp; Ladders"/>
    <x v="1"/>
    <n v="18"/>
    <n v="57"/>
    <n v="201.2"/>
    <x v="4"/>
  </r>
  <r>
    <n v="8"/>
    <s v="Maven Toys Pachuca 1"/>
    <x v="2"/>
    <n v="28"/>
    <s v="Playfoam"/>
    <x v="3"/>
    <n v="20"/>
    <n v="16"/>
    <n v="796.3"/>
    <x v="4"/>
  </r>
  <r>
    <n v="7"/>
    <s v="Maven Toys Monterrey 2"/>
    <x v="2"/>
    <n v="33"/>
    <s v="Teddy Bear"/>
    <x v="0"/>
    <n v="18"/>
    <n v="56"/>
    <n v="204.8"/>
    <x v="4"/>
  </r>
  <r>
    <n v="6"/>
    <s v="Maven Toys Mexicali 1"/>
    <x v="1"/>
    <n v="23"/>
    <s v="Mr. Potatohead"/>
    <x v="0"/>
    <n v="15"/>
    <n v="36"/>
    <n v="265.39999999999998"/>
    <x v="4"/>
  </r>
  <r>
    <n v="6"/>
    <s v="Maven Toys Mexicali 1"/>
    <x v="1"/>
    <n v="29"/>
    <s v="Plush Pony"/>
    <x v="0"/>
    <n v="10"/>
    <n v="6"/>
    <n v="1061.7"/>
    <x v="4"/>
  </r>
  <r>
    <n v="10"/>
    <s v="Maven Toys Campeche 1"/>
    <x v="2"/>
    <n v="28"/>
    <s v="Playfoam"/>
    <x v="3"/>
    <n v="19"/>
    <n v="49"/>
    <n v="247"/>
    <x v="4"/>
  </r>
  <r>
    <n v="6"/>
    <s v="Maven Toys Mexicali 1"/>
    <x v="1"/>
    <n v="16"/>
    <s v="Jenga"/>
    <x v="1"/>
    <n v="10"/>
    <n v="16"/>
    <n v="398.1"/>
    <x v="4"/>
  </r>
  <r>
    <n v="31"/>
    <s v="Maven Toys Ciudad de Mexico 2"/>
    <x v="3"/>
    <n v="10"/>
    <s v="Dinosaur Figures"/>
    <x v="0"/>
    <n v="139"/>
    <n v="169"/>
    <n v="523.9"/>
    <x v="4"/>
  </r>
  <r>
    <n v="30"/>
    <s v="Maven Toys Guadalajara 3"/>
    <x v="3"/>
    <n v="21"/>
    <s v="Mini Ping Pong Set"/>
    <x v="4"/>
    <n v="18"/>
    <n v="64"/>
    <n v="179.2"/>
    <x v="4"/>
  </r>
  <r>
    <n v="26"/>
    <s v="Maven Toys Campeche 2"/>
    <x v="1"/>
    <n v="10"/>
    <s v="Dinosaur Figures"/>
    <x v="0"/>
    <n v="25"/>
    <n v="76"/>
    <n v="209.5"/>
    <x v="4"/>
  </r>
  <r>
    <n v="24"/>
    <s v="Maven Toys Aguascalientes 1"/>
    <x v="2"/>
    <n v="26"/>
    <s v="PlayDoh Playset"/>
    <x v="3"/>
    <n v="21"/>
    <n v="74"/>
    <n v="180.8"/>
    <x v="4"/>
  </r>
  <r>
    <n v="22"/>
    <s v="Maven Toys Guanajuato 2"/>
    <x v="1"/>
    <n v="32"/>
    <s v="Supersoaker Water Gun"/>
    <x v="4"/>
    <n v="38"/>
    <n v="85"/>
    <n v="284.8"/>
    <x v="4"/>
  </r>
  <r>
    <n v="20"/>
    <s v="Maven Toys Zacatecas 1"/>
    <x v="2"/>
    <n v="29"/>
    <s v="Plush Pony"/>
    <x v="0"/>
    <n v="9"/>
    <n v="29"/>
    <n v="197.7"/>
    <x v="4"/>
  </r>
  <r>
    <n v="23"/>
    <s v="Maven Toys Chihuahua 1"/>
    <x v="1"/>
    <n v="28"/>
    <s v="Playfoam"/>
    <x v="3"/>
    <n v="48"/>
    <n v="91"/>
    <n v="336"/>
    <x v="4"/>
  </r>
  <r>
    <n v="41"/>
    <s v="Maven Toys Hermosillo 2"/>
    <x v="2"/>
    <n v="12"/>
    <s v="Foam Disk Launcher"/>
    <x v="4"/>
    <n v="19"/>
    <n v="59"/>
    <n v="205.1"/>
    <x v="4"/>
  </r>
  <r>
    <n v="38"/>
    <s v="Maven Toys Chihuahua 2"/>
    <x v="2"/>
    <n v="29"/>
    <s v="Plush Pony"/>
    <x v="0"/>
    <n v="25"/>
    <n v="93"/>
    <n v="171.2"/>
    <x v="4"/>
  </r>
  <r>
    <n v="35"/>
    <s v="Maven Toys Chilpancingo 1"/>
    <x v="2"/>
    <n v="28"/>
    <s v="Playfoam"/>
    <x v="3"/>
    <n v="20"/>
    <n v="44"/>
    <n v="289.5"/>
    <x v="4"/>
  </r>
  <r>
    <n v="35"/>
    <s v="Maven Toys Chilpancingo 1"/>
    <x v="2"/>
    <n v="33"/>
    <s v="Teddy Bear"/>
    <x v="0"/>
    <n v="14"/>
    <n v="38"/>
    <n v="234.7"/>
    <x v="4"/>
  </r>
  <r>
    <n v="36"/>
    <s v="Maven Toys Morelia 1"/>
    <x v="2"/>
    <n v="21"/>
    <s v="Mini Ping Pong Set"/>
    <x v="4"/>
    <n v="33"/>
    <n v="110"/>
    <n v="191.1"/>
    <x v="4"/>
  </r>
  <r>
    <n v="36"/>
    <s v="Maven Toys Morelia 1"/>
    <x v="2"/>
    <n v="22"/>
    <s v="Monopoly"/>
    <x v="1"/>
    <n v="21"/>
    <n v="54"/>
    <n v="247.7"/>
    <x v="4"/>
  </r>
  <r>
    <n v="36"/>
    <s v="Maven Toys Morelia 1"/>
    <x v="2"/>
    <n v="28"/>
    <s v="Playfoam"/>
    <x v="3"/>
    <n v="7"/>
    <n v="22"/>
    <n v="202.7"/>
    <x v="4"/>
  </r>
  <r>
    <n v="35"/>
    <s v="Maven Toys Chilpancingo 1"/>
    <x v="2"/>
    <n v="11"/>
    <s v="Etch A Sketch"/>
    <x v="3"/>
    <n v="8"/>
    <n v="16"/>
    <n v="318.5"/>
    <x v="4"/>
  </r>
  <r>
    <n v="34"/>
    <s v="Maven Toys Villahermosa 1"/>
    <x v="2"/>
    <n v="23"/>
    <s v="Mr. Potatohead"/>
    <x v="0"/>
    <n v="13"/>
    <n v="23"/>
    <n v="360.1"/>
    <x v="4"/>
  </r>
  <r>
    <n v="34"/>
    <s v="Maven Toys Villahermosa 1"/>
    <x v="2"/>
    <n v="35"/>
    <s v="Uno Card Game"/>
    <x v="1"/>
    <n v="20"/>
    <n v="66"/>
    <n v="193"/>
    <x v="4"/>
  </r>
  <r>
    <n v="33"/>
    <s v="Maven Toys Monterrey 3"/>
    <x v="3"/>
    <n v="35"/>
    <s v="Uno Card Game"/>
    <x v="1"/>
    <n v="18"/>
    <n v="47"/>
    <n v="244"/>
    <x v="4"/>
  </r>
  <r>
    <n v="32"/>
    <s v="Maven Toys Hermosillo 1"/>
    <x v="0"/>
    <n v="26"/>
    <s v="PlayDoh Playset"/>
    <x v="3"/>
    <n v="11"/>
    <n v="27"/>
    <n v="259.5"/>
    <x v="4"/>
  </r>
  <r>
    <n v="32"/>
    <s v="Maven Toys Hermosillo 1"/>
    <x v="0"/>
    <n v="34"/>
    <s v="Toy Robot"/>
    <x v="2"/>
    <n v="20"/>
    <n v="61"/>
    <n v="208.9"/>
    <x v="4"/>
  </r>
  <r>
    <n v="48"/>
    <s v="Maven Toys Saltillo 2"/>
    <x v="1"/>
    <n v="29"/>
    <s v="Plush Pony"/>
    <x v="0"/>
    <n v="20"/>
    <n v="39"/>
    <n v="326.7"/>
    <x v="4"/>
  </r>
  <r>
    <n v="47"/>
    <s v="Maven Toys Monterrey 4"/>
    <x v="1"/>
    <n v="21"/>
    <s v="Mini Ping Pong Set"/>
    <x v="4"/>
    <n v="25"/>
    <n v="63"/>
    <n v="252.8"/>
    <x v="4"/>
  </r>
  <r>
    <n v="44"/>
    <s v="Maven Toys Puebla 3"/>
    <x v="0"/>
    <n v="34"/>
    <s v="Toy Robot"/>
    <x v="2"/>
    <n v="22"/>
    <n v="43"/>
    <n v="325.89999999999998"/>
    <x v="4"/>
  </r>
  <r>
    <n v="46"/>
    <s v="Maven Toys Guadalajara 4"/>
    <x v="2"/>
    <n v="26"/>
    <s v="PlayDoh Playset"/>
    <x v="3"/>
    <n v="14"/>
    <n v="17"/>
    <n v="524.6"/>
    <x v="4"/>
  </r>
  <r>
    <n v="44"/>
    <s v="Maven Toys Puebla 3"/>
    <x v="0"/>
    <n v="5"/>
    <s v="Classic Dominoes"/>
    <x v="1"/>
    <n v="14"/>
    <n v="24"/>
    <n v="371.6"/>
    <x v="4"/>
  </r>
  <r>
    <n v="42"/>
    <s v="Maven Toys Hermosillo 3"/>
    <x v="1"/>
    <n v="21"/>
    <s v="Mini Ping Pong Set"/>
    <x v="4"/>
    <n v="69"/>
    <n v="165"/>
    <n v="266.39999999999998"/>
    <x v="4"/>
  </r>
  <r>
    <n v="42"/>
    <s v="Maven Toys Hermosillo 3"/>
    <x v="1"/>
    <n v="33"/>
    <s v="Teddy Bear"/>
    <x v="0"/>
    <n v="18"/>
    <n v="44"/>
    <n v="260.60000000000002"/>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Toys"/>
    <n v="18"/>
    <x v="0"/>
    <n v="48030"/>
    <n v="59737"/>
    <n v="2388882.63"/>
    <n v="298685"/>
    <n v="12.5"/>
    <n v="16.54"/>
    <n v="7"/>
    <n v="1"/>
    <n v="3"/>
    <n v="31"/>
    <n v="1"/>
    <s v="Top 20%"/>
  </r>
  <r>
    <s v="Electronics"/>
    <n v="6"/>
    <x v="1"/>
    <n v="72988"/>
    <n v="104368"/>
    <n v="1564476.32"/>
    <n v="834944"/>
    <n v="53.36"/>
    <n v="10.83"/>
    <n v="1"/>
    <n v="2"/>
    <n v="1"/>
    <n v="5"/>
    <n v="1"/>
    <s v="Top 20%"/>
  </r>
  <r>
    <s v="Art &amp; Crafts"/>
    <n v="19"/>
    <x v="2"/>
    <n v="39293"/>
    <n v="60598"/>
    <n v="968962.02"/>
    <n v="121196"/>
    <n v="12.5"/>
    <n v="6.71"/>
    <n v="5"/>
    <n v="3"/>
    <n v="11"/>
    <n v="31"/>
    <n v="1"/>
    <s v="Top 20%"/>
  </r>
  <r>
    <s v="Toys"/>
    <n v="1"/>
    <x v="3"/>
    <n v="48497"/>
    <n v="57958"/>
    <n v="926748.42"/>
    <n v="347748"/>
    <n v="37.520000000000003"/>
    <n v="6.42"/>
    <n v="8"/>
    <n v="4"/>
    <n v="2"/>
    <n v="12"/>
    <n v="1"/>
    <s v="Top 20%"/>
  </r>
  <r>
    <s v="Games"/>
    <n v="30"/>
    <x v="4"/>
    <n v="38703"/>
    <n v="45672"/>
    <n v="912983.28"/>
    <n v="91344"/>
    <n v="10"/>
    <n v="6.32"/>
    <n v="9"/>
    <n v="5"/>
    <n v="18"/>
    <n v="34"/>
    <n v="1"/>
    <s v="Top 20%"/>
  </r>
  <r>
    <s v="Games"/>
    <n v="8"/>
    <x v="5"/>
    <n v="68083"/>
    <n v="84034"/>
    <n v="587397.66"/>
    <n v="252102"/>
    <n v="42.91"/>
    <n v="4.07"/>
    <n v="4"/>
    <n v="6"/>
    <n v="4"/>
    <n v="11"/>
    <n v="1"/>
    <s v="Top 20%"/>
  </r>
  <r>
    <s v="Sports &amp; Outdoors"/>
    <n v="31"/>
    <x v="6"/>
    <n v="41559"/>
    <n v="60248"/>
    <n v="541629.52"/>
    <n v="60248"/>
    <n v="11.12"/>
    <n v="3.75"/>
    <n v="6"/>
    <n v="7"/>
    <n v="20"/>
    <n v="33"/>
    <n v="1"/>
    <s v="Top 20%"/>
  </r>
  <r>
    <s v="Sports &amp; Outdoors"/>
    <n v="24"/>
    <x v="7"/>
    <n v="23709"/>
    <n v="26543"/>
    <n v="530594.56999999995"/>
    <n v="132715"/>
    <n v="25.01"/>
    <n v="3.67"/>
    <n v="16"/>
    <n v="8"/>
    <n v="8"/>
    <n v="21"/>
    <n v="2"/>
    <s v="Middle 60%"/>
  </r>
  <r>
    <s v="Toys"/>
    <n v="2"/>
    <x v="8"/>
    <n v="32250"/>
    <n v="39089"/>
    <n v="507766.11"/>
    <n v="117267"/>
    <n v="23.09"/>
    <n v="3.52"/>
    <n v="10"/>
    <n v="9"/>
    <n v="12"/>
    <n v="23"/>
    <n v="2"/>
    <s v="Middle 60%"/>
  </r>
  <r>
    <s v="Sports &amp; Outdoors"/>
    <n v="7"/>
    <x v="9"/>
    <n v="26203"/>
    <n v="31588"/>
    <n v="505092.12"/>
    <n v="126352"/>
    <n v="25.01"/>
    <n v="3.5"/>
    <n v="14"/>
    <n v="10"/>
    <n v="9"/>
    <n v="21"/>
    <n v="2"/>
    <s v="Middle 60%"/>
  </r>
  <r>
    <s v="Art &amp; Crafts"/>
    <n v="17"/>
    <x v="10"/>
    <n v="21648"/>
    <n v="24433"/>
    <n v="488415.67"/>
    <n v="146598"/>
    <n v="30.01"/>
    <n v="3.38"/>
    <n v="17"/>
    <n v="11"/>
    <n v="7"/>
    <n v="16"/>
    <n v="2"/>
    <s v="Middle 60%"/>
  </r>
  <r>
    <s v="Toys"/>
    <n v="10"/>
    <x v="11"/>
    <n v="24311"/>
    <n v="29012"/>
    <n v="434889.88"/>
    <n v="116048"/>
    <n v="26.68"/>
    <n v="3.01"/>
    <n v="15"/>
    <n v="12"/>
    <n v="13"/>
    <n v="19"/>
    <n v="2"/>
    <s v="Middle 60%"/>
  </r>
  <r>
    <s v="Toys"/>
    <n v="9"/>
    <x v="12"/>
    <n v="28181"/>
    <n v="38236"/>
    <n v="420213.64"/>
    <n v="38236"/>
    <n v="9.09"/>
    <n v="2.91"/>
    <n v="11"/>
    <n v="13"/>
    <n v="25"/>
    <n v="35"/>
    <n v="2"/>
    <s v="Middle 60%"/>
  </r>
  <r>
    <s v="Games"/>
    <n v="14"/>
    <x v="13"/>
    <n v="24507"/>
    <n v="37518"/>
    <n v="412322.82"/>
    <n v="187590"/>
    <n v="45.49"/>
    <n v="2.85"/>
    <n v="12"/>
    <n v="14"/>
    <n v="5"/>
    <n v="10"/>
    <n v="2"/>
    <s v="Middle 60%"/>
  </r>
  <r>
    <s v="Electronics"/>
    <n v="13"/>
    <x v="14"/>
    <n v="15543"/>
    <n v="17958"/>
    <n v="376938.42"/>
    <n v="107748"/>
    <n v="28.58"/>
    <n v="2.61"/>
    <n v="20"/>
    <n v="15"/>
    <n v="14"/>
    <n v="18"/>
    <n v="3"/>
    <s v="Middle 60%"/>
  </r>
  <r>
    <s v="Art &amp; Crafts"/>
    <n v="3"/>
    <x v="15"/>
    <n v="54078"/>
    <n v="91663"/>
    <n v="365735.37"/>
    <n v="183326"/>
    <n v="50.12"/>
    <n v="2.5299999999999998"/>
    <n v="3"/>
    <n v="16"/>
    <n v="6"/>
    <n v="6"/>
    <n v="3"/>
    <s v="Middle 60%"/>
  </r>
  <r>
    <s v="Sports &amp; Outdoors"/>
    <n v="21"/>
    <x v="16"/>
    <n v="24378"/>
    <n v="33604"/>
    <n v="335703.96"/>
    <n v="100812"/>
    <n v="30.03"/>
    <n v="2.3199999999999998"/>
    <n v="13"/>
    <n v="17"/>
    <n v="16"/>
    <n v="15"/>
    <n v="3"/>
    <s v="Middle 60%"/>
  </r>
  <r>
    <s v="Art &amp; Crafts"/>
    <n v="25"/>
    <x v="17"/>
    <n v="64834"/>
    <n v="103128"/>
    <n v="308352.71999999997"/>
    <n v="103128"/>
    <n v="33.44"/>
    <n v="2.13"/>
    <n v="2"/>
    <n v="18"/>
    <n v="15"/>
    <n v="13"/>
    <n v="3"/>
    <s v="Middle 60%"/>
  </r>
  <r>
    <s v="Electronics"/>
    <n v="34"/>
    <x v="18"/>
    <n v="10494"/>
    <n v="11749"/>
    <n v="305356.51"/>
    <n v="58745"/>
    <n v="19.23"/>
    <n v="2.11"/>
    <n v="23"/>
    <n v="19"/>
    <n v="21"/>
    <n v="28"/>
    <n v="3"/>
    <s v="Middle 60%"/>
  </r>
  <r>
    <s v="Art &amp; Crafts"/>
    <n v="11"/>
    <x v="19"/>
    <n v="11205"/>
    <n v="12168"/>
    <n v="255406.32"/>
    <n v="121680"/>
    <n v="47.64"/>
    <n v="1.77"/>
    <n v="22"/>
    <n v="20"/>
    <n v="10"/>
    <n v="9"/>
    <n v="3"/>
    <s v="Middle 60%"/>
  </r>
  <r>
    <s v="Art &amp; Crafts"/>
    <n v="26"/>
    <x v="20"/>
    <n v="6067"/>
    <n v="6298"/>
    <n v="157387.01999999999"/>
    <n v="25192"/>
    <n v="16"/>
    <n v="1.0900000000000001"/>
    <n v="28"/>
    <n v="21"/>
    <n v="27"/>
    <n v="29"/>
    <n v="3"/>
    <s v="Middle 60%"/>
  </r>
  <r>
    <s v="Toys"/>
    <n v="15"/>
    <x v="21"/>
    <n v="20776"/>
    <n v="22659"/>
    <n v="135727.41"/>
    <n v="45318"/>
    <n v="33.380000000000003"/>
    <n v="0.94"/>
    <n v="19"/>
    <n v="22"/>
    <n v="22"/>
    <n v="14"/>
    <n v="4"/>
    <s v="Middle 60%"/>
  </r>
  <r>
    <s v="Games"/>
    <n v="16"/>
    <x v="22"/>
    <n v="12143"/>
    <n v="13054"/>
    <n v="130409.46"/>
    <n v="91378"/>
    <n v="70.069999999999993"/>
    <n v="0.9"/>
    <n v="21"/>
    <n v="23"/>
    <n v="17"/>
    <n v="1"/>
    <n v="4"/>
    <s v="Middle 60%"/>
  </r>
  <r>
    <s v="Art &amp; Crafts"/>
    <n v="27"/>
    <x v="23"/>
    <n v="20736"/>
    <n v="23128"/>
    <n v="115408.72"/>
    <n v="23128"/>
    <n v="20.04"/>
    <n v="0.8"/>
    <n v="18"/>
    <n v="24"/>
    <n v="28"/>
    <n v="25"/>
    <n v="4"/>
    <s v="Middle 60%"/>
  </r>
  <r>
    <s v="Toys"/>
    <n v="29"/>
    <x v="24"/>
    <n v="5328"/>
    <n v="5488"/>
    <n v="109705.12"/>
    <n v="60368"/>
    <n v="55.02"/>
    <n v="0.76"/>
    <n v="29"/>
    <n v="25"/>
    <n v="19"/>
    <n v="4"/>
    <n v="4"/>
    <s v="Middle 60%"/>
  </r>
  <r>
    <s v="Sports &amp; Outdoors"/>
    <n v="32"/>
    <x v="25"/>
    <n v="6088"/>
    <n v="6793"/>
    <n v="101827.07"/>
    <n v="20379"/>
    <n v="20.010000000000002"/>
    <n v="0.7"/>
    <n v="26"/>
    <n v="26"/>
    <n v="30"/>
    <n v="27"/>
    <n v="4"/>
    <s v="Middle 60%"/>
  </r>
  <r>
    <s v="Sports &amp; Outdoors"/>
    <n v="12"/>
    <x v="26"/>
    <n v="6812"/>
    <n v="7620"/>
    <n v="91363.8"/>
    <n v="22860"/>
    <n v="25.02"/>
    <n v="0.63"/>
    <n v="25"/>
    <n v="27"/>
    <n v="29"/>
    <n v="20"/>
    <n v="4"/>
    <s v="Middle 60%"/>
  </r>
  <r>
    <s v="Toys"/>
    <n v="23"/>
    <x v="27"/>
    <n v="7820"/>
    <n v="8605"/>
    <n v="85963.95"/>
    <n v="43025"/>
    <n v="50.05"/>
    <n v="0.6"/>
    <n v="24"/>
    <n v="28"/>
    <n v="23"/>
    <n v="8"/>
    <n v="4"/>
    <s v="Middle 60%"/>
  </r>
  <r>
    <s v="Toys"/>
    <n v="33"/>
    <x v="28"/>
    <n v="6034"/>
    <n v="6416"/>
    <n v="83343.839999999997"/>
    <n v="12832"/>
    <n v="15.39"/>
    <n v="0.57999999999999996"/>
    <n v="27"/>
    <n v="29"/>
    <n v="32"/>
    <n v="30"/>
    <n v="5"/>
    <s v="Bottom 20%"/>
  </r>
  <r>
    <s v="Games"/>
    <n v="22"/>
    <x v="29"/>
    <n v="3002"/>
    <n v="3385"/>
    <n v="67666.149999999994"/>
    <n v="20310"/>
    <n v="30.01"/>
    <n v="0.47"/>
    <n v="33"/>
    <n v="30"/>
    <n v="31"/>
    <n v="16"/>
    <n v="5"/>
    <s v="Bottom 20%"/>
  </r>
  <r>
    <s v="Sports &amp; Outdoors"/>
    <n v="20"/>
    <x v="30"/>
    <n v="2582"/>
    <n v="2647"/>
    <n v="66148.53"/>
    <n v="42352"/>
    <n v="64.02"/>
    <n v="0.46"/>
    <n v="35"/>
    <n v="31"/>
    <n v="24"/>
    <n v="2"/>
    <n v="5"/>
    <s v="Bottom 20%"/>
  </r>
  <r>
    <s v="Games"/>
    <n v="4"/>
    <x v="31"/>
    <n v="3700"/>
    <n v="3829"/>
    <n v="49738.71"/>
    <n v="11487"/>
    <n v="23.09"/>
    <n v="0.34"/>
    <n v="32"/>
    <n v="32"/>
    <n v="33"/>
    <n v="23"/>
    <n v="5"/>
    <s v="Bottom 20%"/>
  </r>
  <r>
    <s v="Art &amp; Crafts"/>
    <n v="28"/>
    <x v="32"/>
    <n v="2812"/>
    <n v="4158"/>
    <n v="45696.42"/>
    <n v="29106"/>
    <n v="63.69"/>
    <n v="0.32"/>
    <n v="31"/>
    <n v="33"/>
    <n v="26"/>
    <n v="3"/>
    <n v="5"/>
    <s v="Bottom 20%"/>
  </r>
  <r>
    <s v="Games"/>
    <n v="5"/>
    <x v="33"/>
    <n v="4269"/>
    <n v="4471"/>
    <n v="44665.29"/>
    <n v="8942"/>
    <n v="20.02"/>
    <n v="0.31"/>
    <n v="30"/>
    <n v="34"/>
    <n v="35"/>
    <n v="26"/>
    <n v="5"/>
    <s v="Bottom 20%"/>
  </r>
  <r>
    <s v="Games"/>
    <n v="35"/>
    <x v="34"/>
    <n v="2599"/>
    <n v="2710"/>
    <n v="21652.9"/>
    <n v="10840"/>
    <n v="50.06"/>
    <n v="0.15"/>
    <n v="34"/>
    <n v="35"/>
    <n v="34"/>
    <n v="7"/>
    <n v="5"/>
    <s v="Bottom 2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n v="1"/>
    <x v="0"/>
    <x v="0"/>
    <n v="1"/>
    <s v="Games"/>
    <s v="Airport"/>
    <n v="550"/>
    <n v="793"/>
    <n v="8444.07"/>
    <n v="5344.07"/>
    <n v="3100"/>
    <n v="38.119999999999997"/>
    <s v="NULL"/>
  </r>
  <r>
    <x v="0"/>
    <n v="1"/>
    <x v="0"/>
    <x v="0"/>
    <n v="1"/>
    <s v="Electronics"/>
    <s v="Airport"/>
    <n v="500"/>
    <n v="998"/>
    <n v="15191.02"/>
    <n v="7270.02"/>
    <n v="7921"/>
    <n v="51.93"/>
    <s v="0.799"/>
  </r>
  <r>
    <x v="0"/>
    <n v="1"/>
    <x v="0"/>
    <x v="0"/>
    <n v="1"/>
    <s v="Games"/>
    <s v="Downtown"/>
    <n v="4075"/>
    <n v="5227"/>
    <n v="59560.73"/>
    <n v="43027.73"/>
    <n v="16533"/>
    <n v="32.979999999999997"/>
    <s v="2.9207"/>
  </r>
  <r>
    <x v="0"/>
    <n v="1"/>
    <x v="0"/>
    <x v="0"/>
    <n v="1"/>
    <s v="Electronics"/>
    <s v="Residential"/>
    <n v="508"/>
    <n v="756"/>
    <n v="12102.44"/>
    <n v="6264.44"/>
    <n v="5838"/>
    <n v="48.66"/>
    <s v="-0.7969"/>
  </r>
  <r>
    <x v="0"/>
    <n v="1"/>
    <x v="0"/>
    <x v="0"/>
    <n v="1"/>
    <s v="Toys"/>
    <s v="Residential"/>
    <n v="1170"/>
    <n v="1374"/>
    <n v="24807.26"/>
    <n v="19322.259999999998"/>
    <n v="5485"/>
    <n v="24.01"/>
    <s v="1.0497"/>
  </r>
  <r>
    <x v="0"/>
    <n v="1"/>
    <x v="0"/>
    <x v="0"/>
    <n v="1"/>
    <s v="Art &amp; Crafts"/>
    <s v="Commercial"/>
    <n v="758"/>
    <n v="822"/>
    <n v="6082.78"/>
    <n v="4391.78"/>
    <n v="1691"/>
    <n v="27.68"/>
    <s v="-0.7548"/>
  </r>
  <r>
    <x v="0"/>
    <n v="1"/>
    <x v="0"/>
    <x v="0"/>
    <n v="1"/>
    <s v="Sports &amp; Outdoors"/>
    <s v="Residential"/>
    <n v="535"/>
    <n v="648"/>
    <n v="8470.52"/>
    <n v="6279.52"/>
    <n v="2191"/>
    <n v="23.57"/>
    <s v="0.3925"/>
  </r>
  <r>
    <x v="0"/>
    <n v="1"/>
    <x v="0"/>
    <x v="0"/>
    <n v="1"/>
    <s v="Art &amp; Crafts"/>
    <s v="Airport"/>
    <n v="277"/>
    <n v="300"/>
    <n v="1751"/>
    <n v="1291"/>
    <n v="460"/>
    <n v="25.84"/>
    <s v="-0.7933"/>
  </r>
  <r>
    <x v="0"/>
    <n v="1"/>
    <x v="0"/>
    <x v="0"/>
    <n v="1"/>
    <s v="Electronics"/>
    <s v="Downtown"/>
    <n v="3235"/>
    <n v="4942"/>
    <n v="79855.58"/>
    <n v="41894.58"/>
    <n v="37961"/>
    <n v="48.26"/>
    <s v="44.6056"/>
  </r>
  <r>
    <x v="0"/>
    <n v="1"/>
    <x v="0"/>
    <x v="0"/>
    <n v="1"/>
    <s v="Games"/>
    <s v="Residential"/>
    <n v="851"/>
    <n v="1047"/>
    <n v="11130.53"/>
    <n v="8013.53"/>
    <n v="3117"/>
    <n v="34.01"/>
    <s v="-0.8607"/>
  </r>
  <r>
    <x v="0"/>
    <n v="1"/>
    <x v="0"/>
    <x v="0"/>
    <n v="1"/>
    <s v="Sports &amp; Outdoors"/>
    <s v="Downtown"/>
    <n v="2525"/>
    <n v="3271"/>
    <n v="46137.29"/>
    <n v="33878.29"/>
    <n v="12259"/>
    <n v="23.49"/>
    <s v="3.1451"/>
  </r>
  <r>
    <x v="0"/>
    <n v="1"/>
    <x v="0"/>
    <x v="0"/>
    <n v="1"/>
    <s v="Art &amp; Crafts"/>
    <s v="Residential"/>
    <n v="380"/>
    <n v="480"/>
    <n v="5429.2"/>
    <n v="3909.2"/>
    <n v="1520"/>
    <n v="24.98"/>
    <s v="-0.8824"/>
  </r>
  <r>
    <x v="0"/>
    <n v="1"/>
    <x v="0"/>
    <x v="0"/>
    <n v="1"/>
    <s v="Games"/>
    <s v="Commercial"/>
    <n v="1399"/>
    <n v="1735"/>
    <n v="18440.650000000001"/>
    <n v="12882.65"/>
    <n v="5558"/>
    <n v="35.92"/>
    <s v="2.3965"/>
  </r>
  <r>
    <x v="0"/>
    <n v="1"/>
    <x v="0"/>
    <x v="0"/>
    <n v="1"/>
    <s v="Toys"/>
    <s v="Commercial"/>
    <n v="1766"/>
    <n v="2255"/>
    <n v="39209.449999999997"/>
    <n v="31189.45"/>
    <n v="8020"/>
    <n v="21.48"/>
    <s v="1.1262"/>
  </r>
  <r>
    <x v="0"/>
    <n v="1"/>
    <x v="0"/>
    <x v="0"/>
    <n v="1"/>
    <s v="Toys"/>
    <s v="Downtown"/>
    <n v="5499"/>
    <n v="6494"/>
    <n v="117040.06"/>
    <n v="92117.06"/>
    <n v="24923"/>
    <n v="22.61"/>
    <s v="1.9849"/>
  </r>
  <r>
    <x v="0"/>
    <n v="1"/>
    <x v="0"/>
    <x v="0"/>
    <n v="1"/>
    <s v="Art &amp; Crafts"/>
    <s v="Downtown"/>
    <n v="2286"/>
    <n v="2680"/>
    <n v="21834.2"/>
    <n v="15577.2"/>
    <n v="6257"/>
    <n v="28.09"/>
    <s v="-0.8135"/>
  </r>
  <r>
    <x v="0"/>
    <n v="1"/>
    <x v="0"/>
    <x v="0"/>
    <n v="1"/>
    <s v="Sports &amp; Outdoors"/>
    <s v="Airport"/>
    <n v="317"/>
    <n v="363"/>
    <n v="5771.37"/>
    <n v="4380.37"/>
    <n v="1391"/>
    <n v="22.06"/>
    <s v="-0.7357"/>
  </r>
  <r>
    <x v="0"/>
    <n v="1"/>
    <x v="0"/>
    <x v="0"/>
    <n v="1"/>
    <s v="Electronics"/>
    <s v="Commercial"/>
    <n v="1542"/>
    <n v="2242"/>
    <n v="35939.58"/>
    <n v="18639.580000000002"/>
    <n v="17300"/>
    <n v="49.18"/>
    <s v="5.2272"/>
  </r>
  <r>
    <x v="0"/>
    <n v="1"/>
    <x v="0"/>
    <x v="0"/>
    <n v="1"/>
    <s v="Sports &amp; Outdoors"/>
    <s v="Commercial"/>
    <n v="902"/>
    <n v="1030"/>
    <n v="14566.7"/>
    <n v="10998.7"/>
    <n v="3568"/>
    <n v="22.39"/>
    <s v="-0.5947"/>
  </r>
  <r>
    <x v="0"/>
    <n v="1"/>
    <x v="0"/>
    <x v="0"/>
    <n v="1"/>
    <s v="Toys"/>
    <s v="Airport"/>
    <n v="472"/>
    <n v="552"/>
    <n v="10790.48"/>
    <n v="8757.48"/>
    <n v="2033"/>
    <n v="20.49"/>
    <s v="-0.2593"/>
  </r>
  <r>
    <x v="0"/>
    <n v="2"/>
    <x v="1"/>
    <x v="1"/>
    <n v="1"/>
    <s v="Electronics"/>
    <s v="Airport"/>
    <n v="487"/>
    <n v="799"/>
    <n v="11977.01"/>
    <n v="5585.01"/>
    <n v="6392"/>
    <n v="53.36"/>
    <s v="0.1099"/>
  </r>
  <r>
    <x v="0"/>
    <n v="2"/>
    <x v="1"/>
    <x v="1"/>
    <n v="1"/>
    <s v="Games"/>
    <s v="Commercial"/>
    <n v="1429"/>
    <n v="1711"/>
    <n v="18296.89"/>
    <n v="12772.89"/>
    <n v="5524"/>
    <n v="35.130000000000003"/>
    <s v="0.5276"/>
  </r>
  <r>
    <x v="0"/>
    <n v="2"/>
    <x v="1"/>
    <x v="1"/>
    <n v="1"/>
    <s v="Toys"/>
    <s v="Residential"/>
    <n v="1231"/>
    <n v="1659"/>
    <n v="34934.410000000003"/>
    <n v="27656.41"/>
    <n v="7278"/>
    <n v="23.99"/>
    <s v="0.9093"/>
  </r>
  <r>
    <x v="0"/>
    <n v="2"/>
    <x v="1"/>
    <x v="1"/>
    <n v="1"/>
    <s v="Art &amp; Crafts"/>
    <s v="Airport"/>
    <n v="206"/>
    <n v="294"/>
    <n v="1968.06"/>
    <n v="1419.06"/>
    <n v="549"/>
    <n v="27.32"/>
    <s v="-0.9437"/>
  </r>
  <r>
    <x v="0"/>
    <n v="2"/>
    <x v="1"/>
    <x v="1"/>
    <n v="1"/>
    <s v="Toys"/>
    <s v="Airport"/>
    <n v="600"/>
    <n v="747"/>
    <n v="17093.53"/>
    <n v="14226.53"/>
    <n v="2867"/>
    <n v="20.170000000000002"/>
    <s v="7.6854"/>
  </r>
  <r>
    <x v="0"/>
    <n v="2"/>
    <x v="1"/>
    <x v="1"/>
    <n v="1"/>
    <s v="Games"/>
    <s v="Airport"/>
    <n v="553"/>
    <n v="999"/>
    <n v="10867.01"/>
    <n v="6736.01"/>
    <n v="4131"/>
    <n v="38.479999999999997"/>
    <s v="-0.3643"/>
  </r>
  <r>
    <x v="0"/>
    <n v="2"/>
    <x v="1"/>
    <x v="1"/>
    <n v="1"/>
    <s v="Art &amp; Crafts"/>
    <s v="Downtown"/>
    <n v="2509"/>
    <n v="3118"/>
    <n v="22304.82"/>
    <n v="15832.82"/>
    <n v="6472"/>
    <n v="29.03"/>
    <s v="1.0525"/>
  </r>
  <r>
    <x v="0"/>
    <n v="2"/>
    <x v="1"/>
    <x v="1"/>
    <n v="1"/>
    <s v="Toys"/>
    <s v="Downtown"/>
    <n v="5032"/>
    <n v="6057"/>
    <n v="121012.43"/>
    <n v="95161.43"/>
    <n v="25851"/>
    <n v="24.26"/>
    <s v="4.4253"/>
  </r>
  <r>
    <x v="0"/>
    <n v="2"/>
    <x v="1"/>
    <x v="1"/>
    <n v="1"/>
    <s v="Electronics"/>
    <s v="Downtown"/>
    <n v="2976"/>
    <n v="4154"/>
    <n v="66855.460000000006"/>
    <n v="34874.46"/>
    <n v="31981"/>
    <n v="49.25"/>
    <s v="-0.4476"/>
  </r>
  <r>
    <x v="0"/>
    <n v="2"/>
    <x v="1"/>
    <x v="1"/>
    <n v="1"/>
    <s v="Electronics"/>
    <s v="Commercial"/>
    <n v="1596"/>
    <n v="2454"/>
    <n v="39359.46"/>
    <n v="20429.46"/>
    <n v="18930"/>
    <n v="48.76"/>
    <s v="-0.4113"/>
  </r>
  <r>
    <x v="0"/>
    <n v="2"/>
    <x v="1"/>
    <x v="1"/>
    <n v="1"/>
    <s v="Sports &amp; Outdoors"/>
    <s v="Residential"/>
    <n v="546"/>
    <n v="646"/>
    <n v="8837.5400000000009"/>
    <n v="6722.54"/>
    <n v="2115"/>
    <n v="22.22"/>
    <s v="-0.7755"/>
  </r>
  <r>
    <x v="0"/>
    <n v="2"/>
    <x v="1"/>
    <x v="1"/>
    <n v="1"/>
    <s v="Art &amp; Crafts"/>
    <s v="Commercial"/>
    <n v="747"/>
    <n v="886"/>
    <n v="6313.14"/>
    <n v="4503.1400000000003"/>
    <n v="1810"/>
    <n v="28.71"/>
    <s v="-0.2857"/>
  </r>
  <r>
    <x v="0"/>
    <n v="2"/>
    <x v="1"/>
    <x v="1"/>
    <n v="1"/>
    <s v="Sports &amp; Outdoors"/>
    <s v="Downtown"/>
    <n v="2456"/>
    <n v="3110"/>
    <n v="41631.9"/>
    <n v="31372.9"/>
    <n v="10259"/>
    <n v="22.52"/>
    <s v="5.5944"/>
  </r>
  <r>
    <x v="0"/>
    <n v="2"/>
    <x v="1"/>
    <x v="1"/>
    <n v="1"/>
    <s v="Sports &amp; Outdoors"/>
    <s v="Commercial"/>
    <n v="1132"/>
    <n v="1340"/>
    <n v="18092.599999999999"/>
    <n v="13521.6"/>
    <n v="4571"/>
    <n v="22.58"/>
    <s v="-0.5655"/>
  </r>
  <r>
    <x v="0"/>
    <n v="2"/>
    <x v="1"/>
    <x v="1"/>
    <n v="1"/>
    <s v="Electronics"/>
    <s v="Residential"/>
    <n v="625"/>
    <n v="952"/>
    <n v="15161.48"/>
    <n v="7788.48"/>
    <n v="7373"/>
    <n v="48.94"/>
    <s v="-0.1621"/>
  </r>
  <r>
    <x v="0"/>
    <n v="2"/>
    <x v="1"/>
    <x v="1"/>
    <n v="1"/>
    <s v="Art &amp; Crafts"/>
    <s v="Residential"/>
    <n v="385"/>
    <n v="429"/>
    <n v="3296.71"/>
    <n v="2387.71"/>
    <n v="909"/>
    <n v="26.87"/>
    <s v="-0.7826"/>
  </r>
  <r>
    <x v="0"/>
    <n v="2"/>
    <x v="1"/>
    <x v="1"/>
    <n v="1"/>
    <s v="Sports &amp; Outdoors"/>
    <s v="Airport"/>
    <n v="314"/>
    <n v="355"/>
    <n v="4776.45"/>
    <n v="3776.45"/>
    <n v="1000"/>
    <n v="18.64"/>
    <s v="0.4488"/>
  </r>
  <r>
    <x v="0"/>
    <n v="2"/>
    <x v="1"/>
    <x v="1"/>
    <n v="1"/>
    <s v="Toys"/>
    <s v="Commercial"/>
    <n v="1748"/>
    <n v="2037"/>
    <n v="37589.629999999997"/>
    <n v="29849.63"/>
    <n v="7740"/>
    <n v="22.18"/>
    <s v="6.8697"/>
  </r>
  <r>
    <x v="0"/>
    <n v="2"/>
    <x v="1"/>
    <x v="1"/>
    <n v="1"/>
    <s v="Games"/>
    <s v="Residential"/>
    <n v="675"/>
    <n v="879"/>
    <n v="8944.2099999999991"/>
    <n v="6355.21"/>
    <n v="2589"/>
    <n v="32.97"/>
    <s v="-0.7621"/>
  </r>
  <r>
    <x v="0"/>
    <n v="2"/>
    <x v="1"/>
    <x v="1"/>
    <n v="1"/>
    <s v="Games"/>
    <s v="Downtown"/>
    <n v="3404"/>
    <n v="4309"/>
    <n v="52038.91"/>
    <n v="38518.910000000003"/>
    <n v="13520"/>
    <n v="32.51"/>
    <s v="4.8181"/>
  </r>
  <r>
    <x v="0"/>
    <n v="3"/>
    <x v="2"/>
    <x v="2"/>
    <n v="1"/>
    <s v="Art &amp; Crafts"/>
    <s v="Residential"/>
    <n v="565"/>
    <n v="670"/>
    <n v="7263.3"/>
    <n v="5113.3"/>
    <n v="2150"/>
    <n v="29.64"/>
    <s v="-0.8605"/>
  </r>
  <r>
    <x v="0"/>
    <n v="3"/>
    <x v="2"/>
    <x v="2"/>
    <n v="1"/>
    <s v="Art &amp; Crafts"/>
    <s v="Downtown"/>
    <n v="3073"/>
    <n v="3755"/>
    <n v="29736.45"/>
    <n v="20936.45"/>
    <n v="8800"/>
    <n v="29.59"/>
    <s v="3.094"/>
  </r>
  <r>
    <x v="0"/>
    <n v="3"/>
    <x v="2"/>
    <x v="2"/>
    <n v="1"/>
    <s v="Sports &amp; Outdoors"/>
    <s v="Residential"/>
    <n v="598"/>
    <n v="674"/>
    <n v="8886.26"/>
    <n v="6884.26"/>
    <n v="2002"/>
    <n v="20.34"/>
    <s v="-0.7012"/>
  </r>
  <r>
    <x v="0"/>
    <n v="3"/>
    <x v="2"/>
    <x v="2"/>
    <n v="1"/>
    <s v="Games"/>
    <s v="Commercial"/>
    <n v="1428"/>
    <n v="1774"/>
    <n v="19153.259999999998"/>
    <n v="13316.26"/>
    <n v="5837"/>
    <n v="35.5"/>
    <s v="1.1553"/>
  </r>
  <r>
    <x v="0"/>
    <n v="3"/>
    <x v="2"/>
    <x v="2"/>
    <n v="1"/>
    <s v="Sports &amp; Outdoors"/>
    <s v="Downtown"/>
    <n v="2900"/>
    <n v="3605"/>
    <n v="46267.95"/>
    <n v="35535.949999999997"/>
    <n v="10732"/>
    <n v="21.71"/>
    <s v="1.4156"/>
  </r>
  <r>
    <x v="0"/>
    <n v="3"/>
    <x v="2"/>
    <x v="2"/>
    <n v="1"/>
    <s v="Toys"/>
    <s v="Commercial"/>
    <n v="2031"/>
    <n v="2446"/>
    <n v="50190.54"/>
    <n v="39880.54"/>
    <n v="10310"/>
    <n v="25.74"/>
    <s v="0.0847"/>
  </r>
  <r>
    <x v="0"/>
    <n v="3"/>
    <x v="2"/>
    <x v="2"/>
    <n v="1"/>
    <s v="Electronics"/>
    <s v="Commercial"/>
    <n v="1400"/>
    <n v="2149"/>
    <n v="33940.51"/>
    <n v="17219.509999999998"/>
    <n v="16721"/>
    <n v="50.09"/>
    <s v="-0.3238"/>
  </r>
  <r>
    <x v="0"/>
    <n v="3"/>
    <x v="2"/>
    <x v="2"/>
    <n v="1"/>
    <s v="Games"/>
    <s v="Downtown"/>
    <n v="3287"/>
    <n v="4053"/>
    <n v="49563.47"/>
    <n v="37057.47"/>
    <n v="12506"/>
    <n v="32.42"/>
    <s v="0.4603"/>
  </r>
  <r>
    <x v="0"/>
    <n v="3"/>
    <x v="2"/>
    <x v="2"/>
    <n v="1"/>
    <s v="Toys"/>
    <s v="Downtown"/>
    <n v="5901"/>
    <n v="7007"/>
    <n v="139841.93"/>
    <n v="109771.93"/>
    <n v="30070"/>
    <n v="25.13"/>
    <s v="1.8214"/>
  </r>
  <r>
    <x v="0"/>
    <n v="3"/>
    <x v="2"/>
    <x v="2"/>
    <n v="1"/>
    <s v="Electronics"/>
    <s v="Downtown"/>
    <n v="3132"/>
    <n v="4493"/>
    <n v="70727.070000000007"/>
    <n v="35704.07"/>
    <n v="35023"/>
    <n v="50.45"/>
    <s v="-0.4943"/>
  </r>
  <r>
    <x v="0"/>
    <n v="3"/>
    <x v="2"/>
    <x v="2"/>
    <n v="1"/>
    <s v="Toys"/>
    <s v="Airport"/>
    <n v="703"/>
    <n v="842"/>
    <n v="17101.580000000002"/>
    <n v="13518.58"/>
    <n v="3583"/>
    <n v="27.13"/>
    <s v="-0.7583"/>
  </r>
  <r>
    <x v="0"/>
    <n v="3"/>
    <x v="2"/>
    <x v="2"/>
    <n v="1"/>
    <s v="Games"/>
    <s v="Airport"/>
    <n v="588"/>
    <n v="1007"/>
    <n v="10475.93"/>
    <n v="6763.93"/>
    <n v="3712"/>
    <n v="36.840000000000003"/>
    <s v="-0.3875"/>
  </r>
  <r>
    <x v="0"/>
    <n v="3"/>
    <x v="2"/>
    <x v="2"/>
    <n v="1"/>
    <s v="Games"/>
    <s v="Residential"/>
    <n v="756"/>
    <n v="911"/>
    <n v="10333.89"/>
    <n v="7406.89"/>
    <n v="2927"/>
    <n v="34.67"/>
    <s v="-0.0136"/>
  </r>
  <r>
    <x v="0"/>
    <n v="3"/>
    <x v="2"/>
    <x v="2"/>
    <n v="1"/>
    <s v="Sports &amp; Outdoors"/>
    <s v="Commercial"/>
    <n v="976"/>
    <n v="1183"/>
    <n v="15323.17"/>
    <n v="12023.17"/>
    <n v="3300"/>
    <n v="20.260000000000002"/>
    <s v="0.4828"/>
  </r>
  <r>
    <x v="0"/>
    <n v="3"/>
    <x v="2"/>
    <x v="2"/>
    <n v="1"/>
    <s v="Electronics"/>
    <s v="Airport"/>
    <n v="499"/>
    <n v="945"/>
    <n v="15276.55"/>
    <n v="8019.55"/>
    <n v="7257"/>
    <n v="48.44"/>
    <s v="-0.0031"/>
  </r>
  <r>
    <x v="0"/>
    <n v="3"/>
    <x v="2"/>
    <x v="2"/>
    <n v="1"/>
    <s v="Art &amp; Crafts"/>
    <s v="Commercial"/>
    <n v="1006"/>
    <n v="1191"/>
    <n v="11375.09"/>
    <n v="8014.09"/>
    <n v="3361"/>
    <n v="29.7"/>
    <s v="-0.2554"/>
  </r>
  <r>
    <x v="0"/>
    <n v="3"/>
    <x v="2"/>
    <x v="2"/>
    <n v="1"/>
    <s v="Sports &amp; Outdoors"/>
    <s v="Airport"/>
    <n v="359"/>
    <n v="482"/>
    <n v="6267.18"/>
    <n v="5018.18"/>
    <n v="1249"/>
    <n v="18.100000000000001"/>
    <s v="-0.4491"/>
  </r>
  <r>
    <x v="0"/>
    <n v="3"/>
    <x v="2"/>
    <x v="2"/>
    <n v="1"/>
    <s v="Electronics"/>
    <s v="Residential"/>
    <n v="595"/>
    <n v="880"/>
    <n v="13840.2"/>
    <n v="6977.2"/>
    <n v="6863"/>
    <n v="49.98"/>
    <s v="1.2083"/>
  </r>
  <r>
    <x v="0"/>
    <n v="3"/>
    <x v="2"/>
    <x v="2"/>
    <n v="1"/>
    <s v="Art &amp; Crafts"/>
    <s v="Airport"/>
    <n v="297"/>
    <n v="413"/>
    <n v="3325.87"/>
    <n v="2337.87"/>
    <n v="988"/>
    <n v="29.04"/>
    <s v="-0.7597"/>
  </r>
  <r>
    <x v="0"/>
    <n v="3"/>
    <x v="2"/>
    <x v="2"/>
    <n v="1"/>
    <s v="Toys"/>
    <s v="Residential"/>
    <n v="1282"/>
    <n v="1501"/>
    <n v="30594.99"/>
    <n v="23993.99"/>
    <n v="6601"/>
    <n v="25.74"/>
    <s v="8.199"/>
  </r>
  <r>
    <x v="0"/>
    <n v="4"/>
    <x v="3"/>
    <x v="3"/>
    <n v="2"/>
    <s v="Art &amp; Crafts"/>
    <s v="Downtown"/>
    <n v="3467"/>
    <n v="4115"/>
    <n v="34692.85"/>
    <n v="24482.85"/>
    <n v="10210"/>
    <n v="29.43"/>
    <s v="0.1339"/>
  </r>
  <r>
    <x v="0"/>
    <n v="4"/>
    <x v="3"/>
    <x v="3"/>
    <n v="2"/>
    <s v="Electronics"/>
    <s v="Airport"/>
    <n v="490"/>
    <n v="1077"/>
    <n v="16386.23"/>
    <n v="7836.23"/>
    <n v="8550"/>
    <n v="52.25"/>
    <s v="-0.5277"/>
  </r>
  <r>
    <x v="0"/>
    <n v="4"/>
    <x v="3"/>
    <x v="3"/>
    <n v="2"/>
    <s v="Games"/>
    <s v="Commercial"/>
    <n v="1689"/>
    <n v="2007"/>
    <n v="22392.93"/>
    <n v="16237.93"/>
    <n v="6155"/>
    <n v="33.33"/>
    <s v="0.3665"/>
  </r>
  <r>
    <x v="0"/>
    <n v="4"/>
    <x v="3"/>
    <x v="3"/>
    <n v="2"/>
    <s v="Electronics"/>
    <s v="Commercial"/>
    <n v="1629"/>
    <n v="2411"/>
    <n v="38505.89"/>
    <n v="19862.89"/>
    <n v="18643"/>
    <n v="48.86"/>
    <s v="0.7195"/>
  </r>
  <r>
    <x v="0"/>
    <n v="4"/>
    <x v="3"/>
    <x v="3"/>
    <n v="2"/>
    <s v="Toys"/>
    <s v="Downtown"/>
    <n v="6307"/>
    <n v="8134"/>
    <n v="162815.66"/>
    <n v="129509.66"/>
    <n v="33306"/>
    <n v="24.57"/>
    <s v="3.2283"/>
  </r>
  <r>
    <x v="0"/>
    <n v="4"/>
    <x v="3"/>
    <x v="3"/>
    <n v="2"/>
    <s v="Art &amp; Crafts"/>
    <s v="Residential"/>
    <n v="917"/>
    <n v="987"/>
    <n v="9445.1299999999992"/>
    <n v="6648.13"/>
    <n v="2797"/>
    <n v="29.62"/>
    <s v="-0.942"/>
  </r>
  <r>
    <x v="0"/>
    <n v="4"/>
    <x v="3"/>
    <x v="3"/>
    <n v="2"/>
    <s v="Sports &amp; Outdoors"/>
    <s v="Residential"/>
    <n v="641"/>
    <n v="785"/>
    <n v="9713.15"/>
    <n v="7686.15"/>
    <n v="2027"/>
    <n v="19.77"/>
    <s v="0.0283"/>
  </r>
  <r>
    <x v="0"/>
    <n v="4"/>
    <x v="3"/>
    <x v="3"/>
    <n v="2"/>
    <s v="Toys"/>
    <s v="Commercial"/>
    <n v="2581"/>
    <n v="3485"/>
    <n v="71937.149999999994"/>
    <n v="57655.15"/>
    <n v="14282"/>
    <n v="24.24"/>
    <s v="6.4061"/>
  </r>
  <r>
    <x v="0"/>
    <n v="4"/>
    <x v="3"/>
    <x v="3"/>
    <n v="2"/>
    <s v="Games"/>
    <s v="Residential"/>
    <n v="874"/>
    <n v="991"/>
    <n v="10546.09"/>
    <n v="7454.09"/>
    <n v="3092"/>
    <n v="34.61"/>
    <s v="-0.8534"/>
  </r>
  <r>
    <x v="0"/>
    <n v="4"/>
    <x v="3"/>
    <x v="3"/>
    <n v="2"/>
    <s v="Games"/>
    <s v="Airport"/>
    <n v="686"/>
    <n v="902"/>
    <n v="9198.98"/>
    <n v="6120.98"/>
    <n v="3078"/>
    <n v="39.5"/>
    <s v="-0.1278"/>
  </r>
  <r>
    <x v="0"/>
    <n v="4"/>
    <x v="3"/>
    <x v="3"/>
    <n v="2"/>
    <s v="Art &amp; Crafts"/>
    <s v="Airport"/>
    <n v="478"/>
    <n v="680"/>
    <n v="6236.2"/>
    <n v="4441.2"/>
    <n v="1795"/>
    <n v="27.49"/>
    <s v="-0.3221"/>
  </r>
  <r>
    <x v="0"/>
    <n v="4"/>
    <x v="3"/>
    <x v="3"/>
    <n v="2"/>
    <s v="Toys"/>
    <s v="Airport"/>
    <n v="678"/>
    <n v="898"/>
    <n v="14884.02"/>
    <n v="11600.02"/>
    <n v="3284"/>
    <n v="25.62"/>
    <s v="1.3867"/>
  </r>
  <r>
    <x v="0"/>
    <n v="4"/>
    <x v="3"/>
    <x v="3"/>
    <n v="2"/>
    <s v="Sports &amp; Outdoors"/>
    <s v="Downtown"/>
    <n v="3729"/>
    <n v="5251"/>
    <n v="64543.49"/>
    <n v="50294.49"/>
    <n v="14249"/>
    <n v="20.85"/>
    <s v="3.3364"/>
  </r>
  <r>
    <x v="0"/>
    <n v="4"/>
    <x v="3"/>
    <x v="3"/>
    <n v="2"/>
    <s v="Art &amp; Crafts"/>
    <s v="Commercial"/>
    <n v="1131"/>
    <n v="1514"/>
    <n v="14969.86"/>
    <n v="10520.86"/>
    <n v="4449"/>
    <n v="29.41"/>
    <s v="-0.7681"/>
  </r>
  <r>
    <x v="0"/>
    <n v="4"/>
    <x v="3"/>
    <x v="3"/>
    <n v="2"/>
    <s v="Sports &amp; Outdoors"/>
    <s v="Commercial"/>
    <n v="1343"/>
    <n v="1764"/>
    <n v="21594.36"/>
    <n v="17035.36"/>
    <n v="4559"/>
    <n v="20.18"/>
    <s v="0.4425"/>
  </r>
  <r>
    <x v="0"/>
    <n v="4"/>
    <x v="3"/>
    <x v="3"/>
    <n v="2"/>
    <s v="Sports &amp; Outdoors"/>
    <s v="Airport"/>
    <n v="443"/>
    <n v="582"/>
    <n v="7882.18"/>
    <n v="6269.18"/>
    <n v="1613"/>
    <n v="19.3"/>
    <s v="-0.635"/>
  </r>
  <r>
    <x v="0"/>
    <n v="4"/>
    <x v="3"/>
    <x v="3"/>
    <n v="2"/>
    <s v="Electronics"/>
    <s v="Residential"/>
    <n v="456"/>
    <n v="667"/>
    <n v="10768.33"/>
    <n v="5642.33"/>
    <n v="5126"/>
    <n v="48.27"/>
    <s v="0.3661"/>
  </r>
  <r>
    <x v="0"/>
    <n v="4"/>
    <x v="3"/>
    <x v="3"/>
    <n v="2"/>
    <s v="Games"/>
    <s v="Downtown"/>
    <n v="4004"/>
    <n v="5191"/>
    <n v="58026.09"/>
    <n v="41950.09"/>
    <n v="16076"/>
    <n v="33.700000000000003"/>
    <s v="4.3885"/>
  </r>
  <r>
    <x v="0"/>
    <n v="4"/>
    <x v="3"/>
    <x v="3"/>
    <n v="2"/>
    <s v="Electronics"/>
    <s v="Downtown"/>
    <n v="2734"/>
    <n v="3869"/>
    <n v="62946.31"/>
    <n v="33344.31"/>
    <n v="29602"/>
    <n v="48.74"/>
    <s v="0.0847"/>
  </r>
  <r>
    <x v="0"/>
    <n v="4"/>
    <x v="3"/>
    <x v="3"/>
    <n v="2"/>
    <s v="Toys"/>
    <s v="Residential"/>
    <n v="1439"/>
    <n v="1792"/>
    <n v="33588.080000000002"/>
    <n v="26382.080000000002"/>
    <n v="7206"/>
    <n v="24.76"/>
    <s v="-0.4665"/>
  </r>
  <r>
    <x v="0"/>
    <n v="5"/>
    <x v="4"/>
    <x v="4"/>
    <n v="2"/>
    <s v="Sports &amp; Outdoors"/>
    <s v="Downtown"/>
    <n v="3434"/>
    <n v="4298"/>
    <n v="55592.02"/>
    <n v="42196.02"/>
    <n v="13396"/>
    <n v="21.23"/>
    <s v="0.6551"/>
  </r>
  <r>
    <x v="0"/>
    <n v="5"/>
    <x v="4"/>
    <x v="4"/>
    <n v="2"/>
    <s v="Electronics"/>
    <s v="Airport"/>
    <n v="623"/>
    <n v="1102"/>
    <n v="17134.98"/>
    <n v="8486.98"/>
    <n v="8648"/>
    <n v="50.29"/>
    <s v="-0.6918"/>
  </r>
  <r>
    <x v="0"/>
    <n v="5"/>
    <x v="4"/>
    <x v="4"/>
    <n v="2"/>
    <s v="Electronics"/>
    <s v="Residential"/>
    <n v="493"/>
    <n v="637"/>
    <n v="10296.629999999999"/>
    <n v="5404.63"/>
    <n v="4892"/>
    <n v="49.21"/>
    <s v="-0.3991"/>
  </r>
  <r>
    <x v="0"/>
    <n v="5"/>
    <x v="4"/>
    <x v="4"/>
    <n v="2"/>
    <s v="Sports &amp; Outdoors"/>
    <s v="Airport"/>
    <n v="512"/>
    <n v="647"/>
    <n v="8743.5300000000007"/>
    <n v="6829.53"/>
    <n v="1914"/>
    <n v="19"/>
    <s v="-0.1509"/>
  </r>
  <r>
    <x v="0"/>
    <n v="5"/>
    <x v="4"/>
    <x v="4"/>
    <n v="2"/>
    <s v="Art &amp; Crafts"/>
    <s v="Commercial"/>
    <n v="1300"/>
    <n v="1496"/>
    <n v="15561.04"/>
    <n v="11297.04"/>
    <n v="4264"/>
    <n v="28.21"/>
    <s v="0.7797"/>
  </r>
  <r>
    <x v="0"/>
    <n v="5"/>
    <x v="4"/>
    <x v="4"/>
    <n v="2"/>
    <s v="Games"/>
    <s v="Residential"/>
    <n v="750"/>
    <n v="893"/>
    <n v="9192.07"/>
    <n v="6039.07"/>
    <n v="3153"/>
    <n v="38.270000000000003"/>
    <s v="-0.4093"/>
  </r>
  <r>
    <x v="0"/>
    <n v="5"/>
    <x v="4"/>
    <x v="4"/>
    <n v="2"/>
    <s v="Games"/>
    <s v="Commercial"/>
    <n v="1620"/>
    <n v="1962"/>
    <n v="19949.38"/>
    <n v="12897.38"/>
    <n v="7052"/>
    <n v="41"/>
    <s v="1.1702"/>
  </r>
  <r>
    <x v="0"/>
    <n v="5"/>
    <x v="4"/>
    <x v="4"/>
    <n v="2"/>
    <s v="Art &amp; Crafts"/>
    <s v="Residential"/>
    <n v="813"/>
    <n v="927"/>
    <n v="9061.73"/>
    <n v="6517.73"/>
    <n v="2544"/>
    <n v="28.19"/>
    <s v="-0.5458"/>
  </r>
  <r>
    <x v="0"/>
    <n v="5"/>
    <x v="4"/>
    <x v="4"/>
    <n v="2"/>
    <s v="Electronics"/>
    <s v="Downtown"/>
    <n v="2686"/>
    <n v="3773"/>
    <n v="59373.27"/>
    <n v="29957.27"/>
    <n v="29416"/>
    <n v="50.51"/>
    <s v="5.552"/>
  </r>
  <r>
    <x v="0"/>
    <n v="5"/>
    <x v="4"/>
    <x v="4"/>
    <n v="2"/>
    <s v="Art &amp; Crafts"/>
    <s v="Airport"/>
    <n v="460"/>
    <n v="637"/>
    <n v="4637.63"/>
    <n v="3484.63"/>
    <n v="1153"/>
    <n v="26.35"/>
    <s v="-0.9219"/>
  </r>
  <r>
    <x v="0"/>
    <n v="5"/>
    <x v="4"/>
    <x v="4"/>
    <n v="2"/>
    <s v="Sports &amp; Outdoors"/>
    <s v="Residential"/>
    <n v="584"/>
    <n v="681"/>
    <n v="8937.19"/>
    <n v="6569.19"/>
    <n v="2368"/>
    <n v="23"/>
    <s v="0.9271"/>
  </r>
  <r>
    <x v="0"/>
    <n v="5"/>
    <x v="4"/>
    <x v="4"/>
    <n v="2"/>
    <s v="Toys"/>
    <s v="Commercial"/>
    <n v="2733"/>
    <n v="3340"/>
    <n v="65278.6"/>
    <n v="53043.6"/>
    <n v="12235"/>
    <n v="22.14"/>
    <s v="6.3041"/>
  </r>
  <r>
    <x v="0"/>
    <n v="5"/>
    <x v="4"/>
    <x v="4"/>
    <n v="2"/>
    <s v="Art &amp; Crafts"/>
    <s v="Downtown"/>
    <n v="3659"/>
    <n v="4653"/>
    <n v="41728.47"/>
    <n v="30132.47"/>
    <n v="11596"/>
    <n v="28.42"/>
    <s v="-0.3608"/>
  </r>
  <r>
    <x v="0"/>
    <n v="5"/>
    <x v="4"/>
    <x v="4"/>
    <n v="2"/>
    <s v="Games"/>
    <s v="Downtown"/>
    <n v="3895"/>
    <n v="4549"/>
    <n v="51640.51"/>
    <n v="35986.51"/>
    <n v="15654"/>
    <n v="36.64"/>
    <s v="0.2375"/>
  </r>
  <r>
    <x v="0"/>
    <n v="5"/>
    <x v="4"/>
    <x v="4"/>
    <n v="2"/>
    <s v="Toys"/>
    <s v="Airport"/>
    <n v="1056"/>
    <n v="1233"/>
    <n v="23111.67"/>
    <n v="18613.669999999998"/>
    <n v="4498"/>
    <n v="22.64"/>
    <s v="-0.5525"/>
  </r>
  <r>
    <x v="0"/>
    <n v="5"/>
    <x v="4"/>
    <x v="4"/>
    <n v="2"/>
    <s v="Sports &amp; Outdoors"/>
    <s v="Commercial"/>
    <n v="1161"/>
    <n v="1791"/>
    <n v="21188.09"/>
    <n v="17147.09"/>
    <n v="4041"/>
    <n v="18.149999999999999"/>
    <s v="-0.0833"/>
  </r>
  <r>
    <x v="0"/>
    <n v="5"/>
    <x v="4"/>
    <x v="4"/>
    <n v="2"/>
    <s v="Toys"/>
    <s v="Downtown"/>
    <n v="7788"/>
    <n v="9424"/>
    <n v="169936.76"/>
    <n v="136135.76"/>
    <n v="33801"/>
    <n v="22.7"/>
    <s v="7.0203"/>
  </r>
  <r>
    <x v="0"/>
    <n v="5"/>
    <x v="4"/>
    <x v="4"/>
    <n v="2"/>
    <s v="Toys"/>
    <s v="Residential"/>
    <n v="1635"/>
    <n v="2148"/>
    <n v="41288.519999999997"/>
    <n v="33234.519999999997"/>
    <n v="8054"/>
    <n v="23.77"/>
    <s v="-0.7571"/>
  </r>
  <r>
    <x v="0"/>
    <n v="5"/>
    <x v="4"/>
    <x v="4"/>
    <n v="2"/>
    <s v="Electronics"/>
    <s v="Commercial"/>
    <n v="1358"/>
    <n v="1984"/>
    <n v="31302.16"/>
    <n v="15856.16"/>
    <n v="15446"/>
    <n v="50.39"/>
    <s v="-0.2419"/>
  </r>
  <r>
    <x v="0"/>
    <n v="5"/>
    <x v="4"/>
    <x v="4"/>
    <n v="2"/>
    <s v="Games"/>
    <s v="Airport"/>
    <n v="504"/>
    <n v="735"/>
    <n v="8415.65"/>
    <n v="5646.65"/>
    <n v="2769"/>
    <n v="37.19"/>
    <s v="-0.7312"/>
  </r>
  <r>
    <x v="0"/>
    <n v="6"/>
    <x v="5"/>
    <x v="5"/>
    <n v="2"/>
    <s v="Toys"/>
    <s v="Commercial"/>
    <n v="2291"/>
    <n v="2706"/>
    <n v="59662.94"/>
    <n v="46871.94"/>
    <n v="12791"/>
    <n v="26.5"/>
    <s v="6.0895"/>
  </r>
  <r>
    <x v="0"/>
    <n v="6"/>
    <x v="5"/>
    <x v="5"/>
    <n v="2"/>
    <s v="Games"/>
    <s v="Residential"/>
    <n v="808"/>
    <n v="951"/>
    <n v="9785.49"/>
    <n v="6588.49"/>
    <n v="3197"/>
    <n v="38.340000000000003"/>
    <s v="-0.836"/>
  </r>
  <r>
    <x v="0"/>
    <n v="6"/>
    <x v="5"/>
    <x v="5"/>
    <n v="2"/>
    <s v="Art &amp; Crafts"/>
    <s v="Commercial"/>
    <n v="1389"/>
    <n v="1856"/>
    <n v="17910.439999999999"/>
    <n v="13097.44"/>
    <n v="4813"/>
    <n v="28.32"/>
    <s v="0.8303"/>
  </r>
  <r>
    <x v="0"/>
    <n v="6"/>
    <x v="5"/>
    <x v="5"/>
    <n v="2"/>
    <s v="Sports &amp; Outdoors"/>
    <s v="Commercial"/>
    <n v="1560"/>
    <n v="2695"/>
    <n v="30157.05"/>
    <n v="24890.05"/>
    <n v="5267"/>
    <n v="16.77"/>
    <s v="0.6837"/>
  </r>
  <r>
    <x v="0"/>
    <n v="6"/>
    <x v="5"/>
    <x v="5"/>
    <n v="2"/>
    <s v="Electronics"/>
    <s v="Commercial"/>
    <n v="1371"/>
    <n v="2101"/>
    <n v="33385.99"/>
    <n v="17093.990000000002"/>
    <n v="16292"/>
    <n v="49.08"/>
    <s v="0.107"/>
  </r>
  <r>
    <x v="0"/>
    <n v="6"/>
    <x v="5"/>
    <x v="5"/>
    <n v="2"/>
    <s v="Toys"/>
    <s v="Downtown"/>
    <n v="6022"/>
    <n v="7252"/>
    <n v="146034.48000000001"/>
    <n v="112076.48"/>
    <n v="33958"/>
    <n v="27.41"/>
    <s v="3.3741"/>
  </r>
  <r>
    <x v="0"/>
    <n v="6"/>
    <x v="5"/>
    <x v="5"/>
    <n v="2"/>
    <s v="Sports &amp; Outdoors"/>
    <s v="Airport"/>
    <n v="545"/>
    <n v="936"/>
    <n v="11051.64"/>
    <n v="9073.64"/>
    <n v="1978"/>
    <n v="17.27"/>
    <s v="-0.9244"/>
  </r>
  <r>
    <x v="0"/>
    <n v="6"/>
    <x v="5"/>
    <x v="5"/>
    <n v="2"/>
    <s v="Art &amp; Crafts"/>
    <s v="Airport"/>
    <n v="416"/>
    <n v="494"/>
    <n v="3445.06"/>
    <n v="2552.06"/>
    <n v="893"/>
    <n v="27.99"/>
    <s v="-0.6883"/>
  </r>
  <r>
    <x v="0"/>
    <n v="6"/>
    <x v="5"/>
    <x v="5"/>
    <n v="2"/>
    <s v="Electronics"/>
    <s v="Airport"/>
    <n v="446"/>
    <n v="699"/>
    <n v="11116.01"/>
    <n v="5698.01"/>
    <n v="5418"/>
    <n v="49.61"/>
    <s v="2.2266"/>
  </r>
  <r>
    <x v="0"/>
    <n v="6"/>
    <x v="5"/>
    <x v="5"/>
    <n v="2"/>
    <s v="Games"/>
    <s v="Airport"/>
    <n v="833"/>
    <n v="1119"/>
    <n v="12522.81"/>
    <n v="8380.81"/>
    <n v="4142"/>
    <n v="39.6"/>
    <s v="0.1265"/>
  </r>
  <r>
    <x v="0"/>
    <n v="6"/>
    <x v="5"/>
    <x v="5"/>
    <n v="2"/>
    <s v="Art &amp; Crafts"/>
    <s v="Downtown"/>
    <n v="3522"/>
    <n v="4651"/>
    <n v="33801.49"/>
    <n v="24794.49"/>
    <n v="9007"/>
    <n v="28.25"/>
    <s v="1.6991"/>
  </r>
  <r>
    <x v="0"/>
    <n v="6"/>
    <x v="5"/>
    <x v="5"/>
    <n v="2"/>
    <s v="Sports &amp; Outdoors"/>
    <s v="Residential"/>
    <n v="725"/>
    <n v="988"/>
    <n v="12732.12"/>
    <n v="9738.1200000000008"/>
    <n v="2994"/>
    <n v="20.68"/>
    <s v="-0.6234"/>
  </r>
  <r>
    <x v="0"/>
    <n v="6"/>
    <x v="5"/>
    <x v="5"/>
    <n v="2"/>
    <s v="Toys"/>
    <s v="Airport"/>
    <n v="830"/>
    <n v="1015"/>
    <n v="20488.849999999999"/>
    <n v="15738.85"/>
    <n v="4750"/>
    <n v="28.54"/>
    <s v="0.6092"/>
  </r>
  <r>
    <x v="0"/>
    <n v="6"/>
    <x v="5"/>
    <x v="5"/>
    <n v="2"/>
    <s v="Games"/>
    <s v="Downtown"/>
    <n v="3926"/>
    <n v="4999"/>
    <n v="55808.01"/>
    <n v="36513.01"/>
    <n v="19295"/>
    <n v="39.840000000000003"/>
    <s v="1.7238"/>
  </r>
  <r>
    <x v="0"/>
    <n v="6"/>
    <x v="5"/>
    <x v="5"/>
    <n v="2"/>
    <s v="Games"/>
    <s v="Commercial"/>
    <n v="1831"/>
    <n v="2159"/>
    <n v="24197.41"/>
    <n v="16370.41"/>
    <n v="7827"/>
    <n v="38.99"/>
    <s v="-0.5665"/>
  </r>
  <r>
    <x v="0"/>
    <n v="6"/>
    <x v="5"/>
    <x v="5"/>
    <n v="2"/>
    <s v="Electronics"/>
    <s v="Residential"/>
    <n v="513"/>
    <n v="677"/>
    <n v="11116.23"/>
    <n v="5964.23"/>
    <n v="5152"/>
    <n v="47.51"/>
    <s v="-0.5407"/>
  </r>
  <r>
    <x v="0"/>
    <n v="6"/>
    <x v="5"/>
    <x v="5"/>
    <n v="2"/>
    <s v="Art &amp; Crafts"/>
    <s v="Residential"/>
    <n v="726"/>
    <n v="987"/>
    <n v="7899.13"/>
    <n v="5833.13"/>
    <n v="2066"/>
    <n v="27.51"/>
    <s v="-0.2895"/>
  </r>
  <r>
    <x v="0"/>
    <n v="6"/>
    <x v="5"/>
    <x v="5"/>
    <n v="2"/>
    <s v="Electronics"/>
    <s v="Downtown"/>
    <n v="2713"/>
    <n v="3740"/>
    <n v="60385.599999999999"/>
    <n v="31644.6"/>
    <n v="28741"/>
    <n v="48.74"/>
    <s v="6.6445"/>
  </r>
  <r>
    <x v="0"/>
    <n v="6"/>
    <x v="5"/>
    <x v="5"/>
    <n v="2"/>
    <s v="Sports &amp; Outdoors"/>
    <s v="Downtown"/>
    <n v="3708"/>
    <n v="5526"/>
    <n v="66925.740000000005"/>
    <n v="53066.74"/>
    <n v="13859"/>
    <n v="19.489999999999998"/>
    <s v="0.1083"/>
  </r>
  <r>
    <x v="0"/>
    <n v="6"/>
    <x v="5"/>
    <x v="5"/>
    <n v="2"/>
    <s v="Toys"/>
    <s v="Residential"/>
    <n v="1340"/>
    <n v="1627"/>
    <n v="33553.730000000003"/>
    <n v="26178.73"/>
    <n v="7375"/>
    <n v="26.69"/>
    <s v="-0.4987"/>
  </r>
  <r>
    <x v="0"/>
    <n v="7"/>
    <x v="6"/>
    <x v="6"/>
    <n v="3"/>
    <s v="Sports &amp; Outdoors"/>
    <s v="Airport"/>
    <n v="711"/>
    <n v="1224"/>
    <n v="14699.76"/>
    <n v="11756.76"/>
    <n v="2943"/>
    <n v="18.75"/>
    <s v="-0.562"/>
  </r>
  <r>
    <x v="0"/>
    <n v="7"/>
    <x v="6"/>
    <x v="6"/>
    <n v="3"/>
    <s v="Art &amp; Crafts"/>
    <s v="Downtown"/>
    <n v="3283"/>
    <n v="4611"/>
    <n v="33488.89"/>
    <n v="25024.89"/>
    <n v="8464"/>
    <n v="28.3"/>
    <s v="1.2781"/>
  </r>
  <r>
    <x v="0"/>
    <n v="7"/>
    <x v="6"/>
    <x v="6"/>
    <n v="3"/>
    <s v="Art &amp; Crafts"/>
    <s v="Residential"/>
    <n v="853"/>
    <n v="1231"/>
    <n v="9297.69"/>
    <n v="6920.69"/>
    <n v="2377"/>
    <n v="27.5"/>
    <s v="-0.7224"/>
  </r>
  <r>
    <x v="0"/>
    <n v="7"/>
    <x v="6"/>
    <x v="6"/>
    <n v="3"/>
    <s v="Sports &amp; Outdoors"/>
    <s v="Residential"/>
    <n v="806"/>
    <n v="1116"/>
    <n v="14004.84"/>
    <n v="10893.84"/>
    <n v="3111"/>
    <n v="21.27"/>
    <s v="0.5062"/>
  </r>
  <r>
    <x v="0"/>
    <n v="7"/>
    <x v="6"/>
    <x v="6"/>
    <n v="3"/>
    <s v="Games"/>
    <s v="Residential"/>
    <n v="833"/>
    <n v="908"/>
    <n v="9558.92"/>
    <n v="6385.92"/>
    <n v="3173"/>
    <n v="38.19"/>
    <s v="-0.3175"/>
  </r>
  <r>
    <x v="0"/>
    <n v="7"/>
    <x v="6"/>
    <x v="6"/>
    <n v="3"/>
    <s v="Games"/>
    <s v="Downtown"/>
    <n v="4315"/>
    <n v="5129"/>
    <n v="53706.71"/>
    <n v="34189.71"/>
    <n v="19517"/>
    <n v="40.729999999999997"/>
    <s v="4.6184"/>
  </r>
  <r>
    <x v="0"/>
    <n v="7"/>
    <x v="6"/>
    <x v="6"/>
    <n v="3"/>
    <s v="Electronics"/>
    <s v="Downtown"/>
    <n v="2712"/>
    <n v="3489"/>
    <n v="55902.11"/>
    <n v="29020.11"/>
    <n v="26882"/>
    <n v="49.46"/>
    <s v="0.0408"/>
  </r>
  <r>
    <x v="0"/>
    <n v="7"/>
    <x v="6"/>
    <x v="6"/>
    <n v="3"/>
    <s v="Toys"/>
    <s v="Airport"/>
    <n v="774"/>
    <n v="894"/>
    <n v="12551.06"/>
    <n v="8440.06"/>
    <n v="4111"/>
    <n v="33.89"/>
    <s v="-0.7755"/>
  </r>
  <r>
    <x v="0"/>
    <n v="7"/>
    <x v="6"/>
    <x v="6"/>
    <n v="3"/>
    <s v="Toys"/>
    <s v="Commercial"/>
    <n v="1762"/>
    <n v="2037"/>
    <n v="29895.63"/>
    <n v="20547.63"/>
    <n v="9348"/>
    <n v="31.98"/>
    <s v="1.3819"/>
  </r>
  <r>
    <x v="0"/>
    <n v="7"/>
    <x v="6"/>
    <x v="6"/>
    <n v="3"/>
    <s v="Electronics"/>
    <s v="Commercial"/>
    <n v="1461"/>
    <n v="2102"/>
    <n v="33675.980000000003"/>
    <n v="17478.98"/>
    <n v="16197"/>
    <n v="48.6"/>
    <s v="0.1264"/>
  </r>
  <r>
    <x v="0"/>
    <n v="7"/>
    <x v="6"/>
    <x v="6"/>
    <n v="3"/>
    <s v="Games"/>
    <s v="Airport"/>
    <n v="806"/>
    <n v="1068"/>
    <n v="12594.32"/>
    <n v="8728.32"/>
    <n v="3866"/>
    <n v="38.049999999999997"/>
    <s v="-0.6261"/>
  </r>
  <r>
    <x v="0"/>
    <n v="7"/>
    <x v="6"/>
    <x v="6"/>
    <n v="3"/>
    <s v="Electronics"/>
    <s v="Airport"/>
    <n v="560"/>
    <n v="977"/>
    <n v="15241.23"/>
    <n v="7597.23"/>
    <n v="7644"/>
    <n v="50.14"/>
    <s v="0.2101"/>
  </r>
  <r>
    <x v="0"/>
    <n v="7"/>
    <x v="6"/>
    <x v="6"/>
    <n v="3"/>
    <s v="Games"/>
    <s v="Commercial"/>
    <n v="1965"/>
    <n v="2274"/>
    <n v="23922.26"/>
    <n v="15071.26"/>
    <n v="8851"/>
    <n v="42.09"/>
    <s v="0.5695"/>
  </r>
  <r>
    <x v="0"/>
    <n v="7"/>
    <x v="6"/>
    <x v="6"/>
    <n v="3"/>
    <s v="Sports &amp; Outdoors"/>
    <s v="Downtown"/>
    <n v="3923"/>
    <n v="5658"/>
    <n v="65459.42"/>
    <n v="52195.42"/>
    <n v="13264"/>
    <n v="18.93"/>
    <s v="1.7363"/>
  </r>
  <r>
    <x v="0"/>
    <n v="7"/>
    <x v="6"/>
    <x v="6"/>
    <n v="3"/>
    <s v="Toys"/>
    <s v="Residential"/>
    <n v="1028"/>
    <n v="1267"/>
    <n v="19722.330000000002"/>
    <n v="14562.33"/>
    <n v="5160"/>
    <n v="28.93"/>
    <s v="-0.6988"/>
  </r>
  <r>
    <x v="0"/>
    <n v="7"/>
    <x v="6"/>
    <x v="6"/>
    <n v="3"/>
    <s v="Art &amp; Crafts"/>
    <s v="Airport"/>
    <n v="700"/>
    <n v="818"/>
    <n v="6842.82"/>
    <n v="5320.82"/>
    <n v="1522"/>
    <n v="25.91"/>
    <s v="-0.6531"/>
  </r>
  <r>
    <x v="0"/>
    <n v="7"/>
    <x v="6"/>
    <x v="6"/>
    <n v="3"/>
    <s v="Sports &amp; Outdoors"/>
    <s v="Commercial"/>
    <n v="1727"/>
    <n v="3143"/>
    <n v="35404.57"/>
    <n v="29242.57"/>
    <n v="6162"/>
    <n v="17.059999999999999"/>
    <s v="4.1739"/>
  </r>
  <r>
    <x v="0"/>
    <n v="7"/>
    <x v="6"/>
    <x v="6"/>
    <n v="3"/>
    <s v="Toys"/>
    <s v="Downtown"/>
    <n v="4879"/>
    <n v="5598"/>
    <n v="84240.02"/>
    <n v="59315.02"/>
    <n v="24925"/>
    <n v="30.81"/>
    <s v="1.3793"/>
  </r>
  <r>
    <x v="0"/>
    <n v="7"/>
    <x v="6"/>
    <x v="6"/>
    <n v="3"/>
    <s v="Art &amp; Crafts"/>
    <s v="Commercial"/>
    <n v="1463"/>
    <n v="1990"/>
    <n v="16022.1"/>
    <n v="11716.1"/>
    <n v="4306"/>
    <n v="28.88"/>
    <s v="-0.8099"/>
  </r>
  <r>
    <x v="0"/>
    <n v="7"/>
    <x v="6"/>
    <x v="6"/>
    <n v="3"/>
    <s v="Electronics"/>
    <s v="Residential"/>
    <n v="354"/>
    <n v="643"/>
    <n v="9803.57"/>
    <n v="4704.57"/>
    <n v="5099"/>
    <n v="51.91"/>
    <s v="-0.3882"/>
  </r>
  <r>
    <x v="0"/>
    <n v="8"/>
    <x v="7"/>
    <x v="7"/>
    <n v="3"/>
    <s v="Toys"/>
    <s v="Airport"/>
    <n v="629"/>
    <n v="782"/>
    <n v="12316.18"/>
    <n v="8724.18"/>
    <n v="3592"/>
    <n v="31.37"/>
    <s v="0.2562"/>
  </r>
  <r>
    <x v="0"/>
    <n v="8"/>
    <x v="7"/>
    <x v="7"/>
    <n v="3"/>
    <s v="Sports &amp; Outdoors"/>
    <s v="Commercial"/>
    <n v="1175"/>
    <n v="1595"/>
    <n v="17799.05"/>
    <n v="14569.05"/>
    <n v="3230"/>
    <n v="17.850000000000001"/>
    <s v="0.4451"/>
  </r>
  <r>
    <x v="0"/>
    <n v="8"/>
    <x v="7"/>
    <x v="7"/>
    <n v="3"/>
    <s v="Electronics"/>
    <s v="Airport"/>
    <n v="351"/>
    <n v="542"/>
    <n v="8511.58"/>
    <n v="4294.58"/>
    <n v="4217"/>
    <n v="49.71"/>
    <s v="-0.5218"/>
  </r>
  <r>
    <x v="0"/>
    <n v="8"/>
    <x v="7"/>
    <x v="7"/>
    <n v="3"/>
    <s v="Art &amp; Crafts"/>
    <s v="Residential"/>
    <n v="675"/>
    <n v="937"/>
    <n v="5128.63"/>
    <n v="3693.63"/>
    <n v="1435"/>
    <n v="29.99"/>
    <s v="-0.3975"/>
  </r>
  <r>
    <x v="0"/>
    <n v="8"/>
    <x v="7"/>
    <x v="7"/>
    <n v="3"/>
    <s v="Toys"/>
    <s v="Residential"/>
    <n v="1202"/>
    <n v="1408"/>
    <n v="25185.919999999998"/>
    <n v="18798.919999999998"/>
    <n v="6387"/>
    <n v="29.4"/>
    <s v="3.9108"/>
  </r>
  <r>
    <x v="0"/>
    <n v="8"/>
    <x v="7"/>
    <x v="7"/>
    <n v="3"/>
    <s v="Electronics"/>
    <s v="Residential"/>
    <n v="471"/>
    <n v="696"/>
    <n v="11019.04"/>
    <n v="5625.04"/>
    <n v="5394"/>
    <n v="49.31"/>
    <s v="-0.5625"/>
  </r>
  <r>
    <x v="0"/>
    <n v="8"/>
    <x v="7"/>
    <x v="7"/>
    <n v="3"/>
    <s v="Art &amp; Crafts"/>
    <s v="Airport"/>
    <n v="367"/>
    <n v="454"/>
    <n v="2663.46"/>
    <n v="1981.46"/>
    <n v="682"/>
    <n v="30.17"/>
    <s v="-0.7583"/>
  </r>
  <r>
    <x v="0"/>
    <n v="8"/>
    <x v="7"/>
    <x v="7"/>
    <n v="3"/>
    <s v="Electronics"/>
    <s v="Commercial"/>
    <n v="1617"/>
    <n v="2573"/>
    <n v="40550.269999999997"/>
    <n v="20591.27"/>
    <n v="19959"/>
    <n v="49.08"/>
    <s v="14.2246"/>
  </r>
  <r>
    <x v="0"/>
    <n v="8"/>
    <x v="7"/>
    <x v="7"/>
    <n v="3"/>
    <s v="Games"/>
    <s v="Residential"/>
    <n v="701"/>
    <n v="729"/>
    <n v="8463.7099999999991"/>
    <n v="6061.71"/>
    <n v="2402"/>
    <n v="35.130000000000003"/>
    <s v="-0.7913"/>
  </r>
  <r>
    <x v="0"/>
    <n v="8"/>
    <x v="7"/>
    <x v="7"/>
    <n v="3"/>
    <s v="Sports &amp; Outdoors"/>
    <s v="Airport"/>
    <n v="520"/>
    <n v="847"/>
    <n v="9423.5300000000007"/>
    <n v="7846.53"/>
    <n v="1577"/>
    <n v="16.350000000000001"/>
    <s v="0.1134"/>
  </r>
  <r>
    <x v="0"/>
    <n v="8"/>
    <x v="7"/>
    <x v="7"/>
    <n v="3"/>
    <s v="Toys"/>
    <s v="Commercial"/>
    <n v="1354"/>
    <n v="1504"/>
    <n v="24402.959999999999"/>
    <n v="17848.96"/>
    <n v="6554"/>
    <n v="30.4"/>
    <s v="1.5895"/>
  </r>
  <r>
    <x v="0"/>
    <n v="8"/>
    <x v="7"/>
    <x v="7"/>
    <n v="3"/>
    <s v="Toys"/>
    <s v="Downtown"/>
    <n v="4186"/>
    <n v="4851"/>
    <n v="78707.490000000005"/>
    <n v="56134.49"/>
    <n v="22573"/>
    <n v="30.92"/>
    <s v="2.2253"/>
  </r>
  <r>
    <x v="0"/>
    <n v="8"/>
    <x v="7"/>
    <x v="7"/>
    <n v="3"/>
    <s v="Art &amp; Crafts"/>
    <s v="Commercial"/>
    <n v="1633"/>
    <n v="2213"/>
    <n v="13848.87"/>
    <n v="10080.870000000001"/>
    <n v="3768"/>
    <n v="30.75"/>
    <s v="-0.8241"/>
  </r>
  <r>
    <x v="0"/>
    <n v="8"/>
    <x v="7"/>
    <x v="7"/>
    <n v="3"/>
    <s v="Art &amp; Crafts"/>
    <s v="Downtown"/>
    <n v="3742"/>
    <n v="5173"/>
    <n v="35414.269999999997"/>
    <n v="25851.27"/>
    <n v="9563"/>
    <n v="30.97"/>
    <s v="1.5571"/>
  </r>
  <r>
    <x v="0"/>
    <n v="8"/>
    <x v="7"/>
    <x v="7"/>
    <n v="3"/>
    <s v="Games"/>
    <s v="Airport"/>
    <n v="834"/>
    <n v="1016"/>
    <n v="11443.84"/>
    <n v="7173.84"/>
    <n v="4270"/>
    <n v="43.44"/>
    <s v="-0.6769"/>
  </r>
  <r>
    <x v="0"/>
    <n v="8"/>
    <x v="7"/>
    <x v="7"/>
    <n v="3"/>
    <s v="Sports &amp; Outdoors"/>
    <s v="Downtown"/>
    <n v="3369"/>
    <n v="4356"/>
    <n v="52912.44"/>
    <n v="41490.44"/>
    <n v="11422"/>
    <n v="19.72"/>
    <s v="3.6236"/>
  </r>
  <r>
    <x v="0"/>
    <n v="8"/>
    <x v="7"/>
    <x v="7"/>
    <n v="3"/>
    <s v="Sports &amp; Outdoors"/>
    <s v="Residential"/>
    <n v="624"/>
    <n v="753"/>
    <n v="9273.4699999999993"/>
    <n v="6946.47"/>
    <n v="2327"/>
    <n v="22.68"/>
    <s v="-0.8248"/>
  </r>
  <r>
    <x v="0"/>
    <n v="8"/>
    <x v="7"/>
    <x v="7"/>
    <n v="3"/>
    <s v="Games"/>
    <s v="Downtown"/>
    <n v="3549"/>
    <n v="4180"/>
    <n v="43536.2"/>
    <n v="28076.2"/>
    <n v="15460"/>
    <n v="40.04"/>
    <s v="3.6947"/>
  </r>
  <r>
    <x v="0"/>
    <n v="8"/>
    <x v="7"/>
    <x v="7"/>
    <n v="3"/>
    <s v="Electronics"/>
    <s v="Downtown"/>
    <n v="2925"/>
    <n v="3783"/>
    <n v="62849.17"/>
    <n v="34467.17"/>
    <n v="28382"/>
    <n v="46.81"/>
    <s v="0.4436"/>
  </r>
  <r>
    <x v="0"/>
    <n v="8"/>
    <x v="7"/>
    <x v="7"/>
    <n v="3"/>
    <s v="Games"/>
    <s v="Commercial"/>
    <n v="1380"/>
    <n v="1535"/>
    <n v="15972.65"/>
    <n v="10235.65"/>
    <n v="5737"/>
    <n v="39.85"/>
    <s v="-0.7459"/>
  </r>
  <r>
    <x v="0"/>
    <n v="9"/>
    <x v="8"/>
    <x v="8"/>
    <n v="3"/>
    <s v="Games"/>
    <s v="Residential"/>
    <n v="818"/>
    <n v="955"/>
    <n v="11444.45"/>
    <n v="8207.4500000000007"/>
    <n v="3237"/>
    <n v="35.590000000000003"/>
    <s v="-0.2835"/>
  </r>
  <r>
    <x v="0"/>
    <n v="9"/>
    <x v="8"/>
    <x v="8"/>
    <n v="3"/>
    <s v="Games"/>
    <s v="Downtown"/>
    <n v="3612"/>
    <n v="4411"/>
    <n v="46485.89"/>
    <n v="30049.89"/>
    <n v="16436"/>
    <n v="40.51"/>
    <s v="3.0618"/>
  </r>
  <r>
    <x v="0"/>
    <n v="9"/>
    <x v="8"/>
    <x v="8"/>
    <n v="3"/>
    <s v="Games"/>
    <s v="Airport"/>
    <n v="469"/>
    <n v="722"/>
    <n v="7962.78"/>
    <n v="4903.78"/>
    <n v="3059"/>
    <n v="42.04"/>
    <s v="-0.8288"/>
  </r>
  <r>
    <x v="0"/>
    <n v="9"/>
    <x v="8"/>
    <x v="8"/>
    <n v="3"/>
    <s v="Art &amp; Crafts"/>
    <s v="Residential"/>
    <n v="856"/>
    <n v="1261"/>
    <n v="6677.39"/>
    <n v="4491.3900000000003"/>
    <n v="2186"/>
    <n v="35.53"/>
    <s v="-0.1615"/>
  </r>
  <r>
    <x v="0"/>
    <n v="9"/>
    <x v="8"/>
    <x v="8"/>
    <n v="3"/>
    <s v="Sports &amp; Outdoors"/>
    <s v="Commercial"/>
    <n v="1274"/>
    <n v="1713"/>
    <n v="22388.87"/>
    <n v="17329.87"/>
    <n v="5059"/>
    <n v="21.95"/>
    <s v="2.3529"/>
  </r>
  <r>
    <x v="0"/>
    <n v="9"/>
    <x v="8"/>
    <x v="8"/>
    <n v="3"/>
    <s v="Electronics"/>
    <s v="Airport"/>
    <n v="337"/>
    <n v="494"/>
    <n v="8136.06"/>
    <n v="4419.0600000000004"/>
    <n v="3717"/>
    <n v="45.79"/>
    <s v="-0.6367"/>
  </r>
  <r>
    <x v="0"/>
    <n v="9"/>
    <x v="8"/>
    <x v="8"/>
    <n v="3"/>
    <s v="Toys"/>
    <s v="Airport"/>
    <n v="582"/>
    <n v="627"/>
    <n v="14698.73"/>
    <n v="11512.73"/>
    <n v="3186"/>
    <n v="26.73"/>
    <s v="0.8066"/>
  </r>
  <r>
    <x v="0"/>
    <n v="9"/>
    <x v="8"/>
    <x v="8"/>
    <n v="3"/>
    <s v="Art &amp; Crafts"/>
    <s v="Commercial"/>
    <n v="1658"/>
    <n v="2276"/>
    <n v="14231.24"/>
    <n v="9721.24"/>
    <n v="4510"/>
    <n v="35.92"/>
    <s v="-0.0319"/>
  </r>
  <r>
    <x v="0"/>
    <n v="9"/>
    <x v="8"/>
    <x v="8"/>
    <n v="3"/>
    <s v="Electronics"/>
    <s v="Residential"/>
    <n v="452"/>
    <n v="636"/>
    <n v="10490.64"/>
    <n v="5715.64"/>
    <n v="4775"/>
    <n v="45.11"/>
    <s v="-0.2629"/>
  </r>
  <r>
    <x v="0"/>
    <n v="9"/>
    <x v="8"/>
    <x v="8"/>
    <n v="3"/>
    <s v="Toys"/>
    <s v="Downtown"/>
    <n v="5530"/>
    <n v="6327"/>
    <n v="149823.73000000001"/>
    <n v="120411.73"/>
    <n v="29412"/>
    <n v="24.38"/>
    <s v="13.2816"/>
  </r>
  <r>
    <x v="0"/>
    <n v="9"/>
    <x v="8"/>
    <x v="8"/>
    <n v="3"/>
    <s v="Art &amp; Crafts"/>
    <s v="Airport"/>
    <n v="574"/>
    <n v="786"/>
    <n v="5966.14"/>
    <n v="4069.14"/>
    <n v="1897"/>
    <n v="34.03"/>
    <s v="-0.9602"/>
  </r>
  <r>
    <x v="0"/>
    <n v="9"/>
    <x v="8"/>
    <x v="8"/>
    <n v="3"/>
    <s v="Electronics"/>
    <s v="Downtown"/>
    <n v="2673"/>
    <n v="3388"/>
    <n v="57789.120000000003"/>
    <n v="32860.120000000003"/>
    <n v="24929"/>
    <n v="44.95"/>
    <s v="8.6861"/>
  </r>
  <r>
    <x v="0"/>
    <n v="9"/>
    <x v="8"/>
    <x v="8"/>
    <n v="3"/>
    <s v="Sports &amp; Outdoors"/>
    <s v="Airport"/>
    <n v="378"/>
    <n v="482"/>
    <n v="5683.18"/>
    <n v="4669.18"/>
    <n v="1014"/>
    <n v="17.04"/>
    <s v="-0.9017"/>
  </r>
  <r>
    <x v="0"/>
    <n v="9"/>
    <x v="8"/>
    <x v="8"/>
    <n v="3"/>
    <s v="Toys"/>
    <s v="Residential"/>
    <n v="1200"/>
    <n v="1469"/>
    <n v="32150.31"/>
    <n v="25374.31"/>
    <n v="6776"/>
    <n v="26.27"/>
    <s v="4.657"/>
  </r>
  <r>
    <x v="0"/>
    <n v="9"/>
    <x v="8"/>
    <x v="8"/>
    <n v="3"/>
    <s v="Art &amp; Crafts"/>
    <s v="Downtown"/>
    <n v="4824"/>
    <n v="7088"/>
    <n v="41495.120000000003"/>
    <n v="28099.119999999999"/>
    <n v="13396"/>
    <n v="36.21"/>
    <s v="0.2906"/>
  </r>
  <r>
    <x v="0"/>
    <n v="9"/>
    <x v="8"/>
    <x v="8"/>
    <n v="3"/>
    <s v="Sports &amp; Outdoors"/>
    <s v="Downtown"/>
    <n v="2689"/>
    <n v="3257"/>
    <n v="41564.43"/>
    <n v="31929.43"/>
    <n v="9635"/>
    <n v="21.33"/>
    <s v="0.0016"/>
  </r>
  <r>
    <x v="0"/>
    <n v="9"/>
    <x v="8"/>
    <x v="8"/>
    <n v="3"/>
    <s v="Toys"/>
    <s v="Commercial"/>
    <n v="1992"/>
    <n v="2312"/>
    <n v="53288.88"/>
    <n v="42306.879999999997"/>
    <n v="10982"/>
    <n v="26.54"/>
    <s v="0.282"/>
  </r>
  <r>
    <x v="0"/>
    <n v="9"/>
    <x v="8"/>
    <x v="8"/>
    <n v="3"/>
    <s v="Sports &amp; Outdoors"/>
    <s v="Residential"/>
    <n v="471"/>
    <n v="687"/>
    <n v="9062.1299999999992"/>
    <n v="6735.13"/>
    <n v="2327"/>
    <n v="24.16"/>
    <s v="-0.83"/>
  </r>
  <r>
    <x v="0"/>
    <n v="9"/>
    <x v="8"/>
    <x v="8"/>
    <n v="3"/>
    <s v="Games"/>
    <s v="Commercial"/>
    <n v="1253"/>
    <n v="1402"/>
    <n v="15939.98"/>
    <n v="10684.98"/>
    <n v="5255"/>
    <n v="38.770000000000003"/>
    <s v="0.7589"/>
  </r>
  <r>
    <x v="0"/>
    <n v="9"/>
    <x v="8"/>
    <x v="8"/>
    <n v="3"/>
    <s v="Electronics"/>
    <s v="Commercial"/>
    <n v="1325"/>
    <n v="1903"/>
    <n v="30564.97"/>
    <n v="15955.97"/>
    <n v="14609"/>
    <n v="48.95"/>
    <s v="0.9175"/>
  </r>
  <r>
    <x v="0"/>
    <n v="10"/>
    <x v="9"/>
    <x v="9"/>
    <n v="4"/>
    <s v="Toys"/>
    <s v="Airport"/>
    <n v="620"/>
    <n v="746"/>
    <n v="15570.54"/>
    <n v="12185.54"/>
    <n v="3385"/>
    <n v="26.21"/>
    <s v="-0.4906"/>
  </r>
  <r>
    <x v="0"/>
    <n v="10"/>
    <x v="9"/>
    <x v="9"/>
    <n v="4"/>
    <s v="Art &amp; Crafts"/>
    <s v="Commercial"/>
    <n v="1968"/>
    <n v="2768"/>
    <n v="16493.32"/>
    <n v="10905.32"/>
    <n v="5588"/>
    <n v="38.06"/>
    <s v="0.0592"/>
  </r>
  <r>
    <x v="0"/>
    <n v="10"/>
    <x v="9"/>
    <x v="9"/>
    <n v="4"/>
    <s v="Electronics"/>
    <s v="Airport"/>
    <n v="560"/>
    <n v="873"/>
    <n v="14621.27"/>
    <n v="8128.27"/>
    <n v="6493"/>
    <n v="46.16"/>
    <s v="-0.1136"/>
  </r>
  <r>
    <x v="0"/>
    <n v="10"/>
    <x v="9"/>
    <x v="9"/>
    <n v="4"/>
    <s v="Games"/>
    <s v="Downtown"/>
    <n v="4492"/>
    <n v="5287"/>
    <n v="63187.13"/>
    <n v="44228.13"/>
    <n v="18959"/>
    <n v="37.01"/>
    <s v="3.3215"/>
  </r>
  <r>
    <x v="0"/>
    <n v="10"/>
    <x v="9"/>
    <x v="9"/>
    <n v="4"/>
    <s v="Electronics"/>
    <s v="Downtown"/>
    <n v="2432"/>
    <n v="3126"/>
    <n v="54224.74"/>
    <n v="31442.74"/>
    <n v="22782"/>
    <n v="44.71"/>
    <s v="-0.1419"/>
  </r>
  <r>
    <x v="0"/>
    <n v="10"/>
    <x v="9"/>
    <x v="9"/>
    <n v="4"/>
    <s v="Sports &amp; Outdoors"/>
    <s v="Downtown"/>
    <n v="2629"/>
    <n v="3299"/>
    <n v="42412.01"/>
    <n v="32486.01"/>
    <n v="9926"/>
    <n v="21.87"/>
    <s v="-0.2179"/>
  </r>
  <r>
    <x v="0"/>
    <n v="10"/>
    <x v="9"/>
    <x v="9"/>
    <n v="4"/>
    <s v="Games"/>
    <s v="Airport"/>
    <n v="727"/>
    <n v="885"/>
    <n v="10184.15"/>
    <n v="7175.15"/>
    <n v="3009"/>
    <n v="37.58"/>
    <s v="-0.7599"/>
  </r>
  <r>
    <x v="0"/>
    <n v="10"/>
    <x v="9"/>
    <x v="9"/>
    <n v="4"/>
    <s v="Games"/>
    <s v="Residential"/>
    <n v="840"/>
    <n v="1014"/>
    <n v="12482.86"/>
    <n v="9354.86"/>
    <n v="3128"/>
    <n v="32.869999999999997"/>
    <s v="0.2257"/>
  </r>
  <r>
    <x v="0"/>
    <n v="10"/>
    <x v="9"/>
    <x v="9"/>
    <n v="4"/>
    <s v="Art &amp; Crafts"/>
    <s v="Downtown"/>
    <n v="5830"/>
    <n v="9536"/>
    <n v="50272.639999999999"/>
    <n v="32370.639999999999"/>
    <n v="17902"/>
    <n v="38.42"/>
    <s v="3.0273"/>
  </r>
  <r>
    <x v="0"/>
    <n v="10"/>
    <x v="9"/>
    <x v="9"/>
    <n v="4"/>
    <s v="Sports &amp; Outdoors"/>
    <s v="Commercial"/>
    <n v="1145"/>
    <n v="1330"/>
    <n v="16726.7"/>
    <n v="12432.7"/>
    <n v="4294"/>
    <n v="22.1"/>
    <s v="-0.6673"/>
  </r>
  <r>
    <x v="0"/>
    <n v="10"/>
    <x v="9"/>
    <x v="9"/>
    <n v="4"/>
    <s v="Games"/>
    <s v="Commercial"/>
    <n v="1411"/>
    <n v="1675"/>
    <n v="18671.25"/>
    <n v="12452.25"/>
    <n v="6219"/>
    <n v="39.67"/>
    <s v="0.1162"/>
  </r>
  <r>
    <x v="0"/>
    <n v="10"/>
    <x v="9"/>
    <x v="9"/>
    <n v="4"/>
    <s v="Electronics"/>
    <s v="Commercial"/>
    <n v="1335"/>
    <n v="1853"/>
    <n v="31215.47"/>
    <n v="17462.47"/>
    <n v="13753"/>
    <n v="44.79"/>
    <s v="0.6718"/>
  </r>
  <r>
    <x v="0"/>
    <n v="10"/>
    <x v="9"/>
    <x v="9"/>
    <n v="4"/>
    <s v="Toys"/>
    <s v="Commercial"/>
    <n v="2191"/>
    <n v="2746"/>
    <n v="64291.54"/>
    <n v="52048.54"/>
    <n v="12243"/>
    <n v="24.44"/>
    <s v="1.0596"/>
  </r>
  <r>
    <x v="0"/>
    <n v="10"/>
    <x v="9"/>
    <x v="9"/>
    <n v="4"/>
    <s v="Sports &amp; Outdoors"/>
    <s v="Airport"/>
    <n v="338"/>
    <n v="407"/>
    <n v="5416.93"/>
    <n v="4293.93"/>
    <n v="1123"/>
    <n v="18.77"/>
    <s v="-0.9158"/>
  </r>
  <r>
    <x v="0"/>
    <n v="10"/>
    <x v="9"/>
    <x v="9"/>
    <n v="4"/>
    <s v="Toys"/>
    <s v="Downtown"/>
    <n v="5583"/>
    <n v="6526"/>
    <n v="135720.74"/>
    <n v="105654.74"/>
    <n v="30066"/>
    <n v="26.83"/>
    <s v="24.0549"/>
  </r>
  <r>
    <x v="0"/>
    <n v="10"/>
    <x v="9"/>
    <x v="9"/>
    <n v="4"/>
    <s v="Electronics"/>
    <s v="Residential"/>
    <n v="626"/>
    <n v="783"/>
    <n v="13734.17"/>
    <n v="8087.17"/>
    <n v="5647"/>
    <n v="42.89"/>
    <s v="-0.8989"/>
  </r>
  <r>
    <x v="0"/>
    <n v="10"/>
    <x v="9"/>
    <x v="9"/>
    <n v="4"/>
    <s v="Toys"/>
    <s v="Residential"/>
    <n v="1282"/>
    <n v="1488"/>
    <n v="33015.120000000003"/>
    <n v="26718.12"/>
    <n v="6297"/>
    <n v="24.9"/>
    <s v="1.4038"/>
  </r>
  <r>
    <x v="0"/>
    <n v="10"/>
    <x v="9"/>
    <x v="9"/>
    <n v="4"/>
    <s v="Art &amp; Crafts"/>
    <s v="Residential"/>
    <n v="1000"/>
    <n v="1374"/>
    <n v="7813.26"/>
    <n v="5238.26"/>
    <n v="2575"/>
    <n v="36.21"/>
    <s v="-0.7634"/>
  </r>
  <r>
    <x v="0"/>
    <n v="10"/>
    <x v="9"/>
    <x v="9"/>
    <n v="4"/>
    <s v="Art &amp; Crafts"/>
    <s v="Airport"/>
    <n v="983"/>
    <n v="1632"/>
    <n v="11018.68"/>
    <n v="7326.68"/>
    <n v="3692"/>
    <n v="35.6"/>
    <s v="0.4102"/>
  </r>
  <r>
    <x v="0"/>
    <n v="10"/>
    <x v="9"/>
    <x v="9"/>
    <n v="4"/>
    <s v="Sports &amp; Outdoors"/>
    <s v="Residential"/>
    <n v="459"/>
    <n v="513"/>
    <n v="6801.87"/>
    <n v="5083.87"/>
    <n v="1718"/>
    <n v="23.03"/>
    <s v="-0.3827"/>
  </r>
  <r>
    <x v="0"/>
    <n v="11"/>
    <x v="10"/>
    <x v="10"/>
    <n v="4"/>
    <s v="Games"/>
    <s v="Commercial"/>
    <n v="1758"/>
    <n v="1986"/>
    <n v="22993.14"/>
    <n v="16018.14"/>
    <n v="6975"/>
    <n v="36.119999999999997"/>
    <s v="2.3804"/>
  </r>
  <r>
    <x v="0"/>
    <n v="11"/>
    <x v="10"/>
    <x v="10"/>
    <n v="4"/>
    <s v="Electronics"/>
    <s v="Commercial"/>
    <n v="1249"/>
    <n v="1772"/>
    <n v="28929.279999999999"/>
    <n v="15520.28"/>
    <n v="13409"/>
    <n v="46.7"/>
    <s v="0.2581"/>
  </r>
  <r>
    <x v="0"/>
    <n v="11"/>
    <x v="10"/>
    <x v="10"/>
    <n v="4"/>
    <s v="Sports &amp; Outdoors"/>
    <s v="Downtown"/>
    <n v="2789"/>
    <n v="3409"/>
    <n v="44346.91"/>
    <n v="33993.910000000003"/>
    <n v="10353"/>
    <n v="22.38"/>
    <s v="0.5329"/>
  </r>
  <r>
    <x v="0"/>
    <n v="11"/>
    <x v="10"/>
    <x v="10"/>
    <n v="4"/>
    <s v="Sports &amp; Outdoors"/>
    <s v="Airport"/>
    <n v="397"/>
    <n v="431"/>
    <n v="5495.69"/>
    <n v="4363.6899999999996"/>
    <n v="1132"/>
    <n v="19.29"/>
    <s v="-0.8761"/>
  </r>
  <r>
    <x v="0"/>
    <n v="11"/>
    <x v="10"/>
    <x v="10"/>
    <n v="4"/>
    <s v="Games"/>
    <s v="Airport"/>
    <n v="712"/>
    <n v="947"/>
    <n v="11768.53"/>
    <n v="8288.5300000000007"/>
    <n v="3480"/>
    <n v="34.409999999999997"/>
    <s v="1.1414"/>
  </r>
  <r>
    <x v="0"/>
    <n v="11"/>
    <x v="10"/>
    <x v="10"/>
    <n v="4"/>
    <s v="Games"/>
    <s v="Downtown"/>
    <n v="4205"/>
    <n v="5539"/>
    <n v="66993.61"/>
    <n v="47112.61"/>
    <n v="19881"/>
    <n v="35.26"/>
    <s v="4.6926"/>
  </r>
  <r>
    <x v="0"/>
    <n v="11"/>
    <x v="10"/>
    <x v="10"/>
    <n v="4"/>
    <s v="Electronics"/>
    <s v="Downtown"/>
    <n v="2272"/>
    <n v="2731"/>
    <n v="47794.69"/>
    <n v="28039.69"/>
    <n v="19755"/>
    <n v="43.75"/>
    <s v="-0.2866"/>
  </r>
  <r>
    <x v="0"/>
    <n v="11"/>
    <x v="10"/>
    <x v="10"/>
    <n v="4"/>
    <s v="Toys"/>
    <s v="Residential"/>
    <n v="1439"/>
    <n v="1722"/>
    <n v="38493.78"/>
    <n v="30608.78"/>
    <n v="7885"/>
    <n v="26.81"/>
    <s v="-0.1947"/>
  </r>
  <r>
    <x v="0"/>
    <n v="11"/>
    <x v="10"/>
    <x v="10"/>
    <n v="4"/>
    <s v="Electronics"/>
    <s v="Residential"/>
    <n v="600"/>
    <n v="789"/>
    <n v="12941.11"/>
    <n v="6979.11"/>
    <n v="5962"/>
    <n v="46.83"/>
    <s v="-0.6639"/>
  </r>
  <r>
    <x v="0"/>
    <n v="11"/>
    <x v="10"/>
    <x v="10"/>
    <n v="4"/>
    <s v="Art &amp; Crafts"/>
    <s v="Airport"/>
    <n v="952"/>
    <n v="1594"/>
    <n v="12134.06"/>
    <n v="7783.06"/>
    <n v="4351"/>
    <n v="38.46"/>
    <s v="-0.0624"/>
  </r>
  <r>
    <x v="0"/>
    <n v="11"/>
    <x v="10"/>
    <x v="10"/>
    <n v="4"/>
    <s v="Sports &amp; Outdoors"/>
    <s v="Residential"/>
    <n v="595"/>
    <n v="711"/>
    <n v="9017.89"/>
    <n v="6794.89"/>
    <n v="2223"/>
    <n v="23.3"/>
    <s v="-0.2569"/>
  </r>
  <r>
    <x v="0"/>
    <n v="11"/>
    <x v="10"/>
    <x v="10"/>
    <n v="4"/>
    <s v="Art &amp; Crafts"/>
    <s v="Commercial"/>
    <n v="2426"/>
    <n v="3329"/>
    <n v="23010.71"/>
    <n v="15679.71"/>
    <n v="7331"/>
    <n v="36.14"/>
    <s v="1.5516"/>
  </r>
  <r>
    <x v="0"/>
    <n v="11"/>
    <x v="10"/>
    <x v="10"/>
    <n v="4"/>
    <s v="Toys"/>
    <s v="Downtown"/>
    <n v="6245"/>
    <n v="7117"/>
    <n v="144374.82999999999"/>
    <n v="111753.83"/>
    <n v="32621"/>
    <n v="28.42"/>
    <s v="5.2742"/>
  </r>
  <r>
    <x v="0"/>
    <n v="11"/>
    <x v="10"/>
    <x v="10"/>
    <n v="4"/>
    <s v="Electronics"/>
    <s v="Airport"/>
    <n v="392"/>
    <n v="625"/>
    <n v="10768.75"/>
    <n v="6212.75"/>
    <n v="4556"/>
    <n v="44.52"/>
    <s v="-0.9255"/>
  </r>
  <r>
    <x v="0"/>
    <n v="11"/>
    <x v="10"/>
    <x v="10"/>
    <n v="4"/>
    <s v="Art &amp; Crafts"/>
    <s v="Residential"/>
    <n v="1208"/>
    <n v="1920"/>
    <n v="11805.8"/>
    <n v="7426.8"/>
    <n v="4379"/>
    <n v="38.590000000000003"/>
    <s v="0.0963"/>
  </r>
  <r>
    <x v="0"/>
    <n v="11"/>
    <x v="10"/>
    <x v="10"/>
    <n v="4"/>
    <s v="Sports &amp; Outdoors"/>
    <s v="Commercial"/>
    <n v="1114"/>
    <n v="1341"/>
    <n v="17553.59"/>
    <n v="13137.59"/>
    <n v="4416"/>
    <n v="23.78"/>
    <s v="0.4868"/>
  </r>
  <r>
    <x v="0"/>
    <n v="11"/>
    <x v="10"/>
    <x v="10"/>
    <n v="4"/>
    <s v="Games"/>
    <s v="Residential"/>
    <n v="747"/>
    <n v="841"/>
    <n v="9864.59"/>
    <n v="7325.59"/>
    <n v="2539"/>
    <n v="32.06"/>
    <s v="-0.4381"/>
  </r>
  <r>
    <x v="0"/>
    <n v="11"/>
    <x v="10"/>
    <x v="10"/>
    <n v="4"/>
    <s v="Toys"/>
    <s v="Airport"/>
    <n v="785"/>
    <n v="910"/>
    <n v="17726.900000000001"/>
    <n v="13681.9"/>
    <n v="4045"/>
    <n v="28.01"/>
    <s v="0.797"/>
  </r>
  <r>
    <x v="0"/>
    <n v="11"/>
    <x v="10"/>
    <x v="10"/>
    <n v="4"/>
    <s v="Art &amp; Crafts"/>
    <s v="Downtown"/>
    <n v="6915"/>
    <n v="10900"/>
    <n v="71649"/>
    <n v="45801"/>
    <n v="25848"/>
    <n v="38.14"/>
    <s v="3.0418"/>
  </r>
  <r>
    <x v="0"/>
    <n v="11"/>
    <x v="10"/>
    <x v="10"/>
    <n v="4"/>
    <s v="Toys"/>
    <s v="Commercial"/>
    <n v="2159"/>
    <n v="2571"/>
    <n v="53641.29"/>
    <n v="41909.29"/>
    <n v="11732"/>
    <n v="27.22"/>
    <s v="-0.2514"/>
  </r>
  <r>
    <x v="0"/>
    <n v="12"/>
    <x v="11"/>
    <x v="11"/>
    <n v="4"/>
    <s v="Toys"/>
    <s v="Downtown"/>
    <n v="5962"/>
    <n v="7282"/>
    <n v="159541.18"/>
    <n v="125691.18"/>
    <n v="33850"/>
    <n v="26.68"/>
    <s v="1.9742"/>
  </r>
  <r>
    <x v="0"/>
    <n v="12"/>
    <x v="11"/>
    <x v="11"/>
    <n v="4"/>
    <s v="Games"/>
    <s v="Airport"/>
    <n v="808"/>
    <n v="1092"/>
    <n v="12942.08"/>
    <n v="8807.08"/>
    <n v="4135"/>
    <n v="36.17"/>
    <s v="-0.9189"/>
  </r>
  <r>
    <x v="0"/>
    <n v="12"/>
    <x v="11"/>
    <x v="11"/>
    <n v="4"/>
    <s v="Art &amp; Crafts"/>
    <s v="Residential"/>
    <n v="1762"/>
    <n v="2850"/>
    <n v="21762.5"/>
    <n v="14625.5"/>
    <n v="7137"/>
    <n v="36.17"/>
    <s v="0.6815"/>
  </r>
  <r>
    <x v="0"/>
    <n v="12"/>
    <x v="11"/>
    <x v="11"/>
    <n v="4"/>
    <s v="Electronics"/>
    <s v="Airport"/>
    <n v="497"/>
    <n v="819"/>
    <n v="14443.81"/>
    <n v="8574.81"/>
    <n v="5869"/>
    <n v="41.78"/>
    <s v="-0.3363"/>
  </r>
  <r>
    <x v="0"/>
    <n v="12"/>
    <x v="11"/>
    <x v="11"/>
    <n v="4"/>
    <s v="Art &amp; Crafts"/>
    <s v="Commercial"/>
    <n v="3065"/>
    <n v="4773"/>
    <n v="42818.27"/>
    <n v="31330.27"/>
    <n v="11488"/>
    <n v="31.85"/>
    <s v="1.9644"/>
  </r>
  <r>
    <x v="0"/>
    <n v="12"/>
    <x v="11"/>
    <x v="11"/>
    <n v="4"/>
    <s v="Toys"/>
    <s v="Residential"/>
    <n v="1379"/>
    <n v="1608"/>
    <n v="31055.919999999998"/>
    <n v="23875.919999999998"/>
    <n v="7180"/>
    <n v="27.3"/>
    <s v="-0.2748"/>
  </r>
  <r>
    <x v="0"/>
    <n v="12"/>
    <x v="11"/>
    <x v="11"/>
    <n v="4"/>
    <s v="Games"/>
    <s v="Downtown"/>
    <n v="6736"/>
    <n v="8909"/>
    <n v="110938.91"/>
    <n v="80071.91"/>
    <n v="30867"/>
    <n v="33.49"/>
    <s v="2.5722"/>
  </r>
  <r>
    <x v="0"/>
    <n v="12"/>
    <x v="11"/>
    <x v="11"/>
    <n v="4"/>
    <s v="Games"/>
    <s v="Commercial"/>
    <n v="2863"/>
    <n v="3578"/>
    <n v="42023.22"/>
    <n v="29314.22"/>
    <n v="12709"/>
    <n v="36.86"/>
    <s v="-0.6213"/>
  </r>
  <r>
    <x v="0"/>
    <n v="12"/>
    <x v="11"/>
    <x v="11"/>
    <n v="4"/>
    <s v="Sports &amp; Outdoors"/>
    <s v="Commercial"/>
    <n v="1568"/>
    <n v="2033"/>
    <n v="27111.67"/>
    <n v="19999.669999999998"/>
    <n v="7112"/>
    <n v="25.1"/>
    <s v="-0.3549"/>
  </r>
  <r>
    <x v="0"/>
    <n v="12"/>
    <x v="11"/>
    <x v="11"/>
    <n v="4"/>
    <s v="Sports &amp; Outdoors"/>
    <s v="Downtown"/>
    <n v="4523"/>
    <n v="5954"/>
    <n v="77699.460000000006"/>
    <n v="56498.46"/>
    <n v="21201"/>
    <n v="25.64"/>
    <s v="1.8659"/>
  </r>
  <r>
    <x v="0"/>
    <n v="12"/>
    <x v="11"/>
    <x v="11"/>
    <n v="4"/>
    <s v="Toys"/>
    <s v="Commercial"/>
    <n v="2153"/>
    <n v="2501"/>
    <n v="52837.99"/>
    <n v="41380.99"/>
    <n v="11457"/>
    <n v="26.89"/>
    <s v="-0.32"/>
  </r>
  <r>
    <x v="0"/>
    <n v="12"/>
    <x v="11"/>
    <x v="11"/>
    <n v="4"/>
    <s v="Art &amp; Crafts"/>
    <s v="Downtown"/>
    <n v="8419"/>
    <n v="13522"/>
    <n v="112805.78"/>
    <n v="79447.78"/>
    <n v="33358"/>
    <n v="35.67"/>
    <s v="1.1349"/>
  </r>
  <r>
    <x v="0"/>
    <n v="12"/>
    <x v="11"/>
    <x v="11"/>
    <n v="4"/>
    <s v="Electronics"/>
    <s v="Residential"/>
    <n v="602"/>
    <n v="747"/>
    <n v="12349.53"/>
    <n v="6713.53"/>
    <n v="5636"/>
    <n v="46.87"/>
    <s v="-0.8906"/>
  </r>
  <r>
    <x v="0"/>
    <n v="12"/>
    <x v="11"/>
    <x v="11"/>
    <n v="4"/>
    <s v="Toys"/>
    <s v="Airport"/>
    <n v="815"/>
    <n v="1027"/>
    <n v="21286.73"/>
    <n v="16330.73"/>
    <n v="4956"/>
    <n v="29.9"/>
    <s v="0.7236"/>
  </r>
  <r>
    <x v="0"/>
    <n v="12"/>
    <x v="11"/>
    <x v="11"/>
    <n v="4"/>
    <s v="Sports &amp; Outdoors"/>
    <s v="Airport"/>
    <n v="470"/>
    <n v="543"/>
    <n v="7899.57"/>
    <n v="6168.57"/>
    <n v="1731"/>
    <n v="20.43"/>
    <s v="-0.6289"/>
  </r>
  <r>
    <x v="0"/>
    <n v="12"/>
    <x v="11"/>
    <x v="11"/>
    <n v="4"/>
    <s v="Electronics"/>
    <s v="Commercial"/>
    <n v="1218"/>
    <n v="1675"/>
    <n v="28775.25"/>
    <n v="16486.25"/>
    <n v="12289"/>
    <n v="44.26"/>
    <s v="2.6426"/>
  </r>
  <r>
    <x v="0"/>
    <n v="12"/>
    <x v="11"/>
    <x v="11"/>
    <n v="4"/>
    <s v="Games"/>
    <s v="Residential"/>
    <n v="1151"/>
    <n v="1456"/>
    <n v="16637.439999999999"/>
    <n v="11964.44"/>
    <n v="4673"/>
    <n v="35.14"/>
    <s v="-0.4219"/>
  </r>
  <r>
    <x v="0"/>
    <n v="12"/>
    <x v="11"/>
    <x v="11"/>
    <n v="4"/>
    <s v="Electronics"/>
    <s v="Downtown"/>
    <n v="2424"/>
    <n v="2961"/>
    <n v="53183.39"/>
    <n v="32217.39"/>
    <n v="20966"/>
    <n v="41.46"/>
    <s v="2.1966"/>
  </r>
  <r>
    <x v="0"/>
    <n v="12"/>
    <x v="11"/>
    <x v="11"/>
    <n v="4"/>
    <s v="Sports &amp; Outdoors"/>
    <s v="Residential"/>
    <n v="934"/>
    <n v="1260"/>
    <n v="17180.400000000001"/>
    <n v="12356.4"/>
    <n v="4824"/>
    <n v="26.83"/>
    <s v="-0.677"/>
  </r>
  <r>
    <x v="0"/>
    <n v="12"/>
    <x v="11"/>
    <x v="11"/>
    <n v="4"/>
    <s v="Art &amp; Crafts"/>
    <s v="Airport"/>
    <n v="1031"/>
    <n v="1441"/>
    <n v="13910.59"/>
    <n v="9270.59"/>
    <n v="4640"/>
    <n v="34.64"/>
    <s v="-0.1904"/>
  </r>
  <r>
    <x v="1"/>
    <n v="1"/>
    <x v="0"/>
    <x v="0"/>
    <n v="1"/>
    <s v="Sports &amp; Outdoors"/>
    <s v="Residential"/>
    <n v="724"/>
    <n v="819"/>
    <n v="11253.81"/>
    <n v="8361.81"/>
    <n v="2892"/>
    <n v="24.74"/>
    <s v="-0.191"/>
  </r>
  <r>
    <x v="1"/>
    <n v="1"/>
    <x v="0"/>
    <x v="0"/>
    <n v="1"/>
    <s v="Sports &amp; Outdoors"/>
    <s v="Commercial"/>
    <n v="1133"/>
    <n v="1376"/>
    <n v="21196.240000000002"/>
    <n v="15324.24"/>
    <n v="5872"/>
    <n v="26.31"/>
    <s v="0.8834"/>
  </r>
  <r>
    <x v="1"/>
    <n v="1"/>
    <x v="0"/>
    <x v="0"/>
    <n v="1"/>
    <s v="Games"/>
    <s v="Commercial"/>
    <n v="2237"/>
    <n v="2694"/>
    <n v="30272.06"/>
    <n v="20918.060000000001"/>
    <n v="9354"/>
    <n v="37.01"/>
    <s v="0.4281"/>
  </r>
  <r>
    <x v="1"/>
    <n v="1"/>
    <x v="0"/>
    <x v="0"/>
    <n v="1"/>
    <s v="Electronics"/>
    <s v="Commercial"/>
    <n v="1196"/>
    <n v="1721"/>
    <n v="30208.79"/>
    <n v="17823.79"/>
    <n v="12385"/>
    <n v="42.81"/>
    <s v="-0.0021"/>
  </r>
  <r>
    <x v="1"/>
    <n v="1"/>
    <x v="0"/>
    <x v="0"/>
    <n v="1"/>
    <s v="Electronics"/>
    <s v="Residential"/>
    <n v="489"/>
    <n v="600"/>
    <n v="10221"/>
    <n v="5792"/>
    <n v="4429"/>
    <n v="44.72"/>
    <s v="-0.6617"/>
  </r>
  <r>
    <x v="1"/>
    <n v="1"/>
    <x v="0"/>
    <x v="0"/>
    <n v="1"/>
    <s v="Art &amp; Crafts"/>
    <s v="Airport"/>
    <n v="916"/>
    <n v="1365"/>
    <n v="13646.35"/>
    <n v="9641.35"/>
    <n v="4005"/>
    <n v="33.340000000000003"/>
    <s v="0.3351"/>
  </r>
  <r>
    <x v="1"/>
    <n v="1"/>
    <x v="0"/>
    <x v="0"/>
    <n v="1"/>
    <s v="Art &amp; Crafts"/>
    <s v="Downtown"/>
    <n v="8373"/>
    <n v="13343"/>
    <n v="120245.57"/>
    <n v="89625.57"/>
    <n v="30620"/>
    <n v="33.04"/>
    <s v="7.8115"/>
  </r>
  <r>
    <x v="1"/>
    <n v="1"/>
    <x v="0"/>
    <x v="0"/>
    <n v="1"/>
    <s v="Sports &amp; Outdoors"/>
    <s v="Airport"/>
    <n v="406"/>
    <n v="514"/>
    <n v="7687.86"/>
    <n v="5986.86"/>
    <n v="1701"/>
    <n v="20.7"/>
    <s v="-0.9361"/>
  </r>
  <r>
    <x v="1"/>
    <n v="1"/>
    <x v="0"/>
    <x v="0"/>
    <n v="1"/>
    <s v="Games"/>
    <s v="Residential"/>
    <n v="1035"/>
    <n v="1214"/>
    <n v="14086.86"/>
    <n v="9751.86"/>
    <n v="4335"/>
    <n v="36.67"/>
    <s v="0.8323"/>
  </r>
  <r>
    <x v="1"/>
    <n v="1"/>
    <x v="0"/>
    <x v="0"/>
    <n v="1"/>
    <s v="Toys"/>
    <s v="Commercial"/>
    <n v="1737"/>
    <n v="2053"/>
    <n v="42449.47"/>
    <n v="33387.47"/>
    <n v="9062"/>
    <n v="25.67"/>
    <s v="2.0134"/>
  </r>
  <r>
    <x v="1"/>
    <n v="1"/>
    <x v="0"/>
    <x v="0"/>
    <n v="1"/>
    <s v="Games"/>
    <s v="Downtown"/>
    <n v="5618"/>
    <n v="6866"/>
    <n v="82102.34"/>
    <n v="58109.34"/>
    <n v="23993"/>
    <n v="34.14"/>
    <s v="0.9341"/>
  </r>
  <r>
    <x v="1"/>
    <n v="1"/>
    <x v="0"/>
    <x v="0"/>
    <n v="1"/>
    <s v="Art &amp; Crafts"/>
    <s v="Commercial"/>
    <n v="2809"/>
    <n v="4309"/>
    <n v="44080.91"/>
    <n v="33529.910000000003"/>
    <n v="10551"/>
    <n v="30.27"/>
    <s v="-0.4631"/>
  </r>
  <r>
    <x v="1"/>
    <n v="1"/>
    <x v="0"/>
    <x v="0"/>
    <n v="1"/>
    <s v="Toys"/>
    <s v="Residential"/>
    <n v="980"/>
    <n v="1181"/>
    <n v="21905.19"/>
    <n v="17089.189999999999"/>
    <n v="4816"/>
    <n v="26"/>
    <s v="-0.5031"/>
  </r>
  <r>
    <x v="1"/>
    <n v="1"/>
    <x v="0"/>
    <x v="0"/>
    <n v="1"/>
    <s v="Art &amp; Crafts"/>
    <s v="Residential"/>
    <n v="1515"/>
    <n v="2461"/>
    <n v="17932.39"/>
    <n v="12410.39"/>
    <n v="5522"/>
    <n v="36.31"/>
    <s v="-0.1814"/>
  </r>
  <r>
    <x v="1"/>
    <n v="1"/>
    <x v="0"/>
    <x v="0"/>
    <n v="1"/>
    <s v="Games"/>
    <s v="Airport"/>
    <n v="788"/>
    <n v="1207"/>
    <n v="13347.93"/>
    <n v="9205.93"/>
    <n v="4142"/>
    <n v="36.840000000000003"/>
    <s v="-0.2557"/>
  </r>
  <r>
    <x v="1"/>
    <n v="1"/>
    <x v="0"/>
    <x v="0"/>
    <n v="1"/>
    <s v="Toys"/>
    <s v="Airport"/>
    <n v="790"/>
    <n v="930"/>
    <n v="18588.7"/>
    <n v="14423.7"/>
    <n v="4165"/>
    <n v="26.1"/>
    <s v="0.3926"/>
  </r>
  <r>
    <x v="1"/>
    <n v="1"/>
    <x v="0"/>
    <x v="0"/>
    <n v="1"/>
    <s v="Toys"/>
    <s v="Downtown"/>
    <n v="5646"/>
    <n v="6642"/>
    <n v="136215.57999999999"/>
    <n v="106671.58"/>
    <n v="29544"/>
    <n v="26.35"/>
    <s v="6.3278"/>
  </r>
  <r>
    <x v="1"/>
    <n v="1"/>
    <x v="0"/>
    <x v="0"/>
    <n v="1"/>
    <s v="Electronics"/>
    <s v="Downtown"/>
    <n v="2404"/>
    <n v="2794"/>
    <n v="50338.06"/>
    <n v="30618.06"/>
    <n v="19720"/>
    <n v="41.02"/>
    <s v="-0.6305"/>
  </r>
  <r>
    <x v="1"/>
    <n v="1"/>
    <x v="0"/>
    <x v="0"/>
    <n v="1"/>
    <s v="Sports &amp; Outdoors"/>
    <s v="Downtown"/>
    <n v="3098"/>
    <n v="3685"/>
    <n v="49410.15"/>
    <n v="36630.15"/>
    <n v="12780"/>
    <n v="24.32"/>
    <s v="-0.0185"/>
  </r>
  <r>
    <x v="1"/>
    <n v="1"/>
    <x v="0"/>
    <x v="0"/>
    <n v="1"/>
    <s v="Electronics"/>
    <s v="Airport"/>
    <n v="524"/>
    <n v="704"/>
    <n v="12006.96"/>
    <n v="6820.96"/>
    <n v="5186"/>
    <n v="44.43"/>
    <s v="-0.757"/>
  </r>
  <r>
    <x v="1"/>
    <n v="2"/>
    <x v="1"/>
    <x v="1"/>
    <n v="1"/>
    <s v="Sports &amp; Outdoors"/>
    <s v="Downtown"/>
    <n v="2801"/>
    <n v="3434"/>
    <n v="45579.66"/>
    <n v="33721.660000000003"/>
    <n v="11858"/>
    <n v="24.74"/>
    <s v="2.7961"/>
  </r>
  <r>
    <x v="1"/>
    <n v="2"/>
    <x v="1"/>
    <x v="1"/>
    <n v="1"/>
    <s v="Sports &amp; Outdoors"/>
    <s v="Residential"/>
    <n v="706"/>
    <n v="983"/>
    <n v="14056.17"/>
    <n v="10520.17"/>
    <n v="3536"/>
    <n v="24.6"/>
    <s v="-0.6917"/>
  </r>
  <r>
    <x v="1"/>
    <n v="2"/>
    <x v="1"/>
    <x v="1"/>
    <n v="1"/>
    <s v="Toys"/>
    <s v="Commercial"/>
    <n v="2156"/>
    <n v="2519"/>
    <n v="48671.81"/>
    <n v="38714.81"/>
    <n v="9957"/>
    <n v="24.15"/>
    <s v="2.4626"/>
  </r>
  <r>
    <x v="1"/>
    <n v="2"/>
    <x v="1"/>
    <x v="1"/>
    <n v="1"/>
    <s v="Electronics"/>
    <s v="Commercial"/>
    <n v="1191"/>
    <n v="1550"/>
    <n v="27864.5"/>
    <n v="16918.5"/>
    <n v="10946"/>
    <n v="41.95"/>
    <s v="-0.4276"/>
  </r>
  <r>
    <x v="1"/>
    <n v="2"/>
    <x v="1"/>
    <x v="1"/>
    <n v="1"/>
    <s v="Sports &amp; Outdoors"/>
    <s v="Airport"/>
    <n v="401"/>
    <n v="487"/>
    <n v="7578.13"/>
    <n v="5845.13"/>
    <n v="1733"/>
    <n v="21.84"/>
    <s v="-0.7281"/>
  </r>
  <r>
    <x v="1"/>
    <n v="2"/>
    <x v="1"/>
    <x v="1"/>
    <n v="1"/>
    <s v="Electronics"/>
    <s v="Downtown"/>
    <n v="2254"/>
    <n v="2899"/>
    <n v="52025.01"/>
    <n v="31462.01"/>
    <n v="20563"/>
    <n v="41.66"/>
    <s v="5.8651"/>
  </r>
  <r>
    <x v="1"/>
    <n v="2"/>
    <x v="1"/>
    <x v="1"/>
    <n v="1"/>
    <s v="Art &amp; Crafts"/>
    <s v="Residential"/>
    <n v="1506"/>
    <n v="2236"/>
    <n v="18509.64"/>
    <n v="12818.64"/>
    <n v="5691"/>
    <n v="36.340000000000003"/>
    <s v="-0.6443"/>
  </r>
  <r>
    <x v="1"/>
    <n v="2"/>
    <x v="1"/>
    <x v="1"/>
    <n v="1"/>
    <s v="Art &amp; Crafts"/>
    <s v="Airport"/>
    <n v="854"/>
    <n v="1444"/>
    <n v="14291.56"/>
    <n v="9785.56"/>
    <n v="4506"/>
    <n v="36.35"/>
    <s v="-0.2279"/>
  </r>
  <r>
    <x v="1"/>
    <n v="2"/>
    <x v="1"/>
    <x v="1"/>
    <n v="1"/>
    <s v="Sports &amp; Outdoors"/>
    <s v="Commercial"/>
    <n v="1130"/>
    <n v="1284"/>
    <n v="18634.16"/>
    <n v="13912.16"/>
    <n v="4722"/>
    <n v="24.21"/>
    <s v="0.3038"/>
  </r>
  <r>
    <x v="1"/>
    <n v="2"/>
    <x v="1"/>
    <x v="1"/>
    <n v="1"/>
    <s v="Toys"/>
    <s v="Residential"/>
    <n v="1104"/>
    <n v="1229"/>
    <n v="23963.71"/>
    <n v="19469.71"/>
    <n v="4494"/>
    <n v="22.18"/>
    <s v="0.286"/>
  </r>
  <r>
    <x v="1"/>
    <n v="2"/>
    <x v="1"/>
    <x v="1"/>
    <n v="1"/>
    <s v="Games"/>
    <s v="Commercial"/>
    <n v="1527"/>
    <n v="2148"/>
    <n v="26882.52"/>
    <n v="20416.52"/>
    <n v="6466"/>
    <n v="32.83"/>
    <s v="0.1218"/>
  </r>
  <r>
    <x v="1"/>
    <n v="2"/>
    <x v="1"/>
    <x v="1"/>
    <n v="1"/>
    <s v="Art &amp; Crafts"/>
    <s v="Downtown"/>
    <n v="8360"/>
    <n v="13308"/>
    <n v="113815.92"/>
    <n v="83841.919999999998"/>
    <n v="29974"/>
    <n v="33.78"/>
    <s v="3.2338"/>
  </r>
  <r>
    <x v="1"/>
    <n v="2"/>
    <x v="1"/>
    <x v="1"/>
    <n v="1"/>
    <s v="Games"/>
    <s v="Downtown"/>
    <n v="4593"/>
    <n v="6248"/>
    <n v="77814.52"/>
    <n v="56723.519999999997"/>
    <n v="21091"/>
    <n v="33.46"/>
    <s v="-0.3164"/>
  </r>
  <r>
    <x v="1"/>
    <n v="2"/>
    <x v="1"/>
    <x v="1"/>
    <n v="1"/>
    <s v="Games"/>
    <s v="Residential"/>
    <n v="979"/>
    <n v="1181"/>
    <n v="12647.19"/>
    <n v="8402.19"/>
    <n v="4245"/>
    <n v="39.18"/>
    <s v="-0.8375"/>
  </r>
  <r>
    <x v="1"/>
    <n v="2"/>
    <x v="1"/>
    <x v="1"/>
    <n v="1"/>
    <s v="Art &amp; Crafts"/>
    <s v="Commercial"/>
    <n v="2756"/>
    <n v="3802"/>
    <n v="41095.980000000003"/>
    <n v="31770.98"/>
    <n v="9325"/>
    <n v="30.1"/>
    <s v="2.2494"/>
  </r>
  <r>
    <x v="1"/>
    <n v="2"/>
    <x v="1"/>
    <x v="1"/>
    <n v="1"/>
    <s v="Electronics"/>
    <s v="Residential"/>
    <n v="552"/>
    <n v="614"/>
    <n v="10571.86"/>
    <n v="6095.86"/>
    <n v="4476"/>
    <n v="43.74"/>
    <s v="-0.7428"/>
  </r>
  <r>
    <x v="1"/>
    <n v="2"/>
    <x v="1"/>
    <x v="1"/>
    <n v="1"/>
    <s v="Games"/>
    <s v="Airport"/>
    <n v="848"/>
    <n v="1120"/>
    <n v="14400.8"/>
    <n v="10444.799999999999"/>
    <n v="3956"/>
    <n v="33.409999999999997"/>
    <s v="0.3621"/>
  </r>
  <r>
    <x v="1"/>
    <n v="2"/>
    <x v="1"/>
    <x v="1"/>
    <n v="1"/>
    <s v="Toys"/>
    <s v="Downtown"/>
    <n v="5678"/>
    <n v="6778"/>
    <n v="133007.22"/>
    <n v="107394.22"/>
    <n v="25613"/>
    <n v="23.07"/>
    <s v="8.236"/>
  </r>
  <r>
    <x v="1"/>
    <n v="2"/>
    <x v="1"/>
    <x v="1"/>
    <n v="1"/>
    <s v="Toys"/>
    <s v="Airport"/>
    <n v="652"/>
    <n v="849"/>
    <n v="12683.51"/>
    <n v="9782.51"/>
    <n v="2901"/>
    <n v="25.62"/>
    <s v="-0.9047"/>
  </r>
  <r>
    <x v="1"/>
    <n v="2"/>
    <x v="1"/>
    <x v="1"/>
    <n v="1"/>
    <s v="Electronics"/>
    <s v="Airport"/>
    <n v="385"/>
    <n v="468"/>
    <n v="8538.32"/>
    <n v="5277.32"/>
    <n v="3261"/>
    <n v="40.49"/>
    <s v="-0.3269"/>
  </r>
  <r>
    <x v="1"/>
    <n v="3"/>
    <x v="2"/>
    <x v="2"/>
    <n v="1"/>
    <s v="Sports &amp; Outdoors"/>
    <s v="Downtown"/>
    <n v="4554"/>
    <n v="5565"/>
    <n v="75042.350000000006"/>
    <n v="56844.35"/>
    <n v="18198"/>
    <n v="23.51"/>
    <s v="7.7888"/>
  </r>
  <r>
    <x v="1"/>
    <n v="3"/>
    <x v="2"/>
    <x v="2"/>
    <n v="1"/>
    <s v="Sports &amp; Outdoors"/>
    <s v="Residential"/>
    <n v="1097"/>
    <n v="1509"/>
    <n v="21324.91"/>
    <n v="16154.91"/>
    <n v="5170"/>
    <n v="22.97"/>
    <s v="-0.7159"/>
  </r>
  <r>
    <x v="1"/>
    <n v="3"/>
    <x v="2"/>
    <x v="2"/>
    <n v="1"/>
    <s v="Sports &amp; Outdoors"/>
    <s v="Airport"/>
    <n v="713"/>
    <n v="932"/>
    <n v="13932.68"/>
    <n v="10581.68"/>
    <n v="3351"/>
    <n v="22.76"/>
    <s v="-0.3467"/>
  </r>
  <r>
    <x v="1"/>
    <n v="3"/>
    <x v="2"/>
    <x v="2"/>
    <n v="1"/>
    <s v="Toys"/>
    <s v="Commercial"/>
    <n v="2881"/>
    <n v="3445"/>
    <n v="64490.55"/>
    <n v="51783.55"/>
    <n v="12707"/>
    <n v="23.01"/>
    <s v="3.6287"/>
  </r>
  <r>
    <x v="1"/>
    <n v="3"/>
    <x v="2"/>
    <x v="2"/>
    <n v="1"/>
    <s v="Games"/>
    <s v="Commercial"/>
    <n v="1973"/>
    <n v="2418"/>
    <n v="28385.82"/>
    <n v="20703.82"/>
    <n v="7682"/>
    <n v="34.159999999999997"/>
    <s v="-0.5599"/>
  </r>
  <r>
    <x v="1"/>
    <n v="3"/>
    <x v="2"/>
    <x v="2"/>
    <n v="1"/>
    <s v="Games"/>
    <s v="Residential"/>
    <n v="1072"/>
    <n v="1345"/>
    <n v="15613.55"/>
    <n v="11058.55"/>
    <n v="4555"/>
    <n v="36.049999999999997"/>
    <s v="-0.45"/>
  </r>
  <r>
    <x v="1"/>
    <n v="3"/>
    <x v="2"/>
    <x v="2"/>
    <n v="1"/>
    <s v="Electronics"/>
    <s v="Commercial"/>
    <n v="1247"/>
    <n v="1739"/>
    <n v="30289.61"/>
    <n v="17675.61"/>
    <n v="12614"/>
    <n v="43.06"/>
    <s v="0.9399"/>
  </r>
  <r>
    <x v="1"/>
    <n v="3"/>
    <x v="2"/>
    <x v="2"/>
    <n v="1"/>
    <s v="Electronics"/>
    <s v="Residential"/>
    <n v="482"/>
    <n v="521"/>
    <n v="9267.7900000000009"/>
    <n v="5545.79"/>
    <n v="3722"/>
    <n v="42.27"/>
    <s v="-0.6941"/>
  </r>
  <r>
    <x v="1"/>
    <n v="3"/>
    <x v="2"/>
    <x v="2"/>
    <n v="1"/>
    <s v="Art &amp; Crafts"/>
    <s v="Residential"/>
    <n v="1971"/>
    <n v="3418"/>
    <n v="23193.82"/>
    <n v="15405.82"/>
    <n v="7788"/>
    <n v="37.53"/>
    <s v="1.5026"/>
  </r>
  <r>
    <x v="1"/>
    <n v="3"/>
    <x v="2"/>
    <x v="2"/>
    <n v="1"/>
    <s v="Art &amp; Crafts"/>
    <s v="Downtown"/>
    <n v="9464"/>
    <n v="15214"/>
    <n v="123698.86"/>
    <n v="90127.86"/>
    <n v="33571"/>
    <n v="33.86"/>
    <s v="4.3332"/>
  </r>
  <r>
    <x v="1"/>
    <n v="3"/>
    <x v="2"/>
    <x v="2"/>
    <n v="1"/>
    <s v="Art &amp; Crafts"/>
    <s v="Airport"/>
    <n v="1070"/>
    <n v="1817"/>
    <n v="13392.83"/>
    <n v="9415.83"/>
    <n v="3977"/>
    <n v="33.43"/>
    <s v="-0.8918"/>
  </r>
  <r>
    <x v="1"/>
    <n v="3"/>
    <x v="2"/>
    <x v="2"/>
    <n v="1"/>
    <s v="Art &amp; Crafts"/>
    <s v="Commercial"/>
    <n v="3246"/>
    <n v="5138"/>
    <n v="45562.62"/>
    <n v="34834.620000000003"/>
    <n v="10728"/>
    <n v="32.11"/>
    <s v="2.402"/>
  </r>
  <r>
    <x v="1"/>
    <n v="3"/>
    <x v="2"/>
    <x v="2"/>
    <n v="1"/>
    <s v="Toys"/>
    <s v="Residential"/>
    <n v="1634"/>
    <n v="2261"/>
    <n v="46990.39"/>
    <n v="38577.39"/>
    <n v="8413"/>
    <n v="23.11"/>
    <s v="0.0313"/>
  </r>
  <r>
    <x v="1"/>
    <n v="3"/>
    <x v="2"/>
    <x v="2"/>
    <n v="1"/>
    <s v="Toys"/>
    <s v="Downtown"/>
    <n v="7323"/>
    <n v="9354"/>
    <n v="171494.46"/>
    <n v="136646.46"/>
    <n v="34848"/>
    <n v="23.34"/>
    <s v="2.6495"/>
  </r>
  <r>
    <x v="1"/>
    <n v="3"/>
    <x v="2"/>
    <x v="2"/>
    <n v="1"/>
    <s v="Electronics"/>
    <s v="Airport"/>
    <n v="410"/>
    <n v="552"/>
    <n v="9831.48"/>
    <n v="5932.48"/>
    <n v="3899"/>
    <n v="40.42"/>
    <s v="-0.9427"/>
  </r>
  <r>
    <x v="1"/>
    <n v="3"/>
    <x v="2"/>
    <x v="2"/>
    <n v="1"/>
    <s v="Toys"/>
    <s v="Airport"/>
    <n v="790"/>
    <n v="1057"/>
    <n v="20224.43"/>
    <n v="16214.43"/>
    <n v="4010"/>
    <n v="23.96"/>
    <s v="1.0571"/>
  </r>
  <r>
    <x v="1"/>
    <n v="3"/>
    <x v="2"/>
    <x v="2"/>
    <n v="1"/>
    <s v="Electronics"/>
    <s v="Downtown"/>
    <n v="2185"/>
    <n v="2922"/>
    <n v="51722.78"/>
    <n v="30776.78"/>
    <n v="20946"/>
    <n v="41.27"/>
    <s v="1.5574"/>
  </r>
  <r>
    <x v="1"/>
    <n v="3"/>
    <x v="2"/>
    <x v="2"/>
    <n v="1"/>
    <s v="Games"/>
    <s v="Airport"/>
    <n v="828"/>
    <n v="1290"/>
    <n v="13676.1"/>
    <n v="8692.1"/>
    <n v="4984"/>
    <n v="37.99"/>
    <s v="-0.7356"/>
  </r>
  <r>
    <x v="1"/>
    <n v="3"/>
    <x v="2"/>
    <x v="2"/>
    <n v="1"/>
    <s v="Sports &amp; Outdoors"/>
    <s v="Commercial"/>
    <n v="1940"/>
    <n v="2351"/>
    <n v="31803.49"/>
    <n v="23840.49"/>
    <n v="7963"/>
    <n v="23.48"/>
    <s v="1.3254"/>
  </r>
  <r>
    <x v="1"/>
    <n v="3"/>
    <x v="2"/>
    <x v="2"/>
    <n v="1"/>
    <s v="Games"/>
    <s v="Downtown"/>
    <n v="4938"/>
    <n v="6488"/>
    <n v="73577.119999999995"/>
    <n v="50794.12"/>
    <n v="22783"/>
    <n v="35.56"/>
    <s v="1.3134"/>
  </r>
  <r>
    <x v="1"/>
    <n v="4"/>
    <x v="3"/>
    <x v="3"/>
    <n v="2"/>
    <s v="Sports &amp; Outdoors"/>
    <s v="Residential"/>
    <n v="895"/>
    <n v="1065"/>
    <n v="14270.35"/>
    <n v="10820.35"/>
    <n v="3450"/>
    <n v="22.69"/>
    <s v="-0.8061"/>
  </r>
  <r>
    <x v="1"/>
    <n v="4"/>
    <x v="3"/>
    <x v="3"/>
    <n v="2"/>
    <s v="Electronics"/>
    <s v="Residential"/>
    <n v="442"/>
    <n v="595"/>
    <n v="9784.0499999999993"/>
    <n v="5297.05"/>
    <n v="4487"/>
    <n v="45.87"/>
    <s v="-0.3144"/>
  </r>
  <r>
    <x v="1"/>
    <n v="4"/>
    <x v="3"/>
    <x v="3"/>
    <n v="2"/>
    <s v="Electronics"/>
    <s v="Downtown"/>
    <n v="2124"/>
    <n v="2459"/>
    <n v="43945.41"/>
    <n v="26442.41"/>
    <n v="17503"/>
    <n v="41.8"/>
    <s v="3.4915"/>
  </r>
  <r>
    <x v="1"/>
    <n v="4"/>
    <x v="3"/>
    <x v="3"/>
    <n v="2"/>
    <s v="Games"/>
    <s v="Residential"/>
    <n v="810"/>
    <n v="1015"/>
    <n v="11997.85"/>
    <n v="8282.85"/>
    <n v="3715"/>
    <n v="36.479999999999997"/>
    <s v="-0.727"/>
  </r>
  <r>
    <x v="1"/>
    <n v="4"/>
    <x v="3"/>
    <x v="3"/>
    <n v="2"/>
    <s v="Sports &amp; Outdoors"/>
    <s v="Airport"/>
    <n v="647"/>
    <n v="789"/>
    <n v="10282.11"/>
    <n v="8119.11"/>
    <n v="2163"/>
    <n v="20.36"/>
    <s v="-0.1431"/>
  </r>
  <r>
    <x v="1"/>
    <n v="4"/>
    <x v="3"/>
    <x v="3"/>
    <n v="2"/>
    <s v="Electronics"/>
    <s v="Airport"/>
    <n v="368"/>
    <n v="557"/>
    <n v="10043.43"/>
    <n v="6097.43"/>
    <n v="3946"/>
    <n v="42.11"/>
    <s v="-0.0233"/>
  </r>
  <r>
    <x v="1"/>
    <n v="4"/>
    <x v="3"/>
    <x v="3"/>
    <n v="2"/>
    <s v="Art &amp; Crafts"/>
    <s v="Airport"/>
    <n v="1284"/>
    <n v="2167"/>
    <n v="18701.330000000002"/>
    <n v="13882.33"/>
    <n v="4819"/>
    <n v="32.520000000000003"/>
    <s v="0.862"/>
  </r>
  <r>
    <x v="1"/>
    <n v="4"/>
    <x v="3"/>
    <x v="3"/>
    <n v="2"/>
    <s v="Sports &amp; Outdoors"/>
    <s v="Downtown"/>
    <n v="4635"/>
    <n v="5842"/>
    <n v="76691.58"/>
    <n v="58760.58"/>
    <n v="17931"/>
    <n v="22.74"/>
    <s v="3.1008"/>
  </r>
  <r>
    <x v="1"/>
    <n v="4"/>
    <x v="3"/>
    <x v="3"/>
    <n v="2"/>
    <s v="Games"/>
    <s v="Commercial"/>
    <n v="1882"/>
    <n v="2234"/>
    <n v="24401.66"/>
    <n v="16683.66"/>
    <n v="7718"/>
    <n v="38.11"/>
    <s v="-0.6819"/>
  </r>
  <r>
    <x v="1"/>
    <n v="4"/>
    <x v="3"/>
    <x v="3"/>
    <n v="2"/>
    <s v="Art &amp; Crafts"/>
    <s v="Commercial"/>
    <n v="3210"/>
    <n v="5213"/>
    <n v="52262.87"/>
    <n v="40282.870000000003"/>
    <n v="11980"/>
    <n v="31.45"/>
    <s v="1.1417"/>
  </r>
  <r>
    <x v="1"/>
    <n v="4"/>
    <x v="3"/>
    <x v="3"/>
    <n v="2"/>
    <s v="Electronics"/>
    <s v="Commercial"/>
    <n v="1084"/>
    <n v="1473"/>
    <n v="25401.27"/>
    <n v="14630.27"/>
    <n v="10771"/>
    <n v="42.95"/>
    <s v="-0.514"/>
  </r>
  <r>
    <x v="1"/>
    <n v="4"/>
    <x v="3"/>
    <x v="3"/>
    <n v="2"/>
    <s v="Toys"/>
    <s v="Downtown"/>
    <n v="7185"/>
    <n v="8686"/>
    <n v="148292.14000000001"/>
    <n v="116667.14"/>
    <n v="31625"/>
    <n v="23.95"/>
    <s v="4.8379"/>
  </r>
  <r>
    <x v="1"/>
    <n v="4"/>
    <x v="3"/>
    <x v="3"/>
    <n v="2"/>
    <s v="Games"/>
    <s v="Downtown"/>
    <n v="4739"/>
    <n v="5687"/>
    <n v="66338.13"/>
    <n v="47222.13"/>
    <n v="19116"/>
    <n v="34.700000000000003"/>
    <s v="-0.5527"/>
  </r>
  <r>
    <x v="1"/>
    <n v="4"/>
    <x v="3"/>
    <x v="3"/>
    <n v="2"/>
    <s v="Games"/>
    <s v="Airport"/>
    <n v="900"/>
    <n v="1782"/>
    <n v="18459.18"/>
    <n v="10994.18"/>
    <n v="7465"/>
    <n v="40.74"/>
    <s v="-0.7218"/>
  </r>
  <r>
    <x v="1"/>
    <n v="4"/>
    <x v="3"/>
    <x v="3"/>
    <n v="2"/>
    <s v="Toys"/>
    <s v="Residential"/>
    <n v="1151"/>
    <n v="1514"/>
    <n v="30652.86"/>
    <n v="25444.86"/>
    <n v="5208"/>
    <n v="21.3"/>
    <s v="0.6605"/>
  </r>
  <r>
    <x v="1"/>
    <n v="4"/>
    <x v="3"/>
    <x v="3"/>
    <n v="2"/>
    <s v="Toys"/>
    <s v="Commercial"/>
    <n v="2308"/>
    <n v="2835"/>
    <n v="54245.65"/>
    <n v="43569.65"/>
    <n v="10676"/>
    <n v="24.43"/>
    <s v="0.7696"/>
  </r>
  <r>
    <x v="1"/>
    <n v="4"/>
    <x v="3"/>
    <x v="3"/>
    <n v="2"/>
    <s v="Art &amp; Crafts"/>
    <s v="Residential"/>
    <n v="1875"/>
    <n v="3287"/>
    <n v="26143.13"/>
    <n v="18454.13"/>
    <n v="7689"/>
    <n v="34.78"/>
    <s v="-0.5181"/>
  </r>
  <r>
    <x v="1"/>
    <n v="4"/>
    <x v="3"/>
    <x v="3"/>
    <n v="2"/>
    <s v="Toys"/>
    <s v="Airport"/>
    <n v="915"/>
    <n v="1298"/>
    <n v="24565.02"/>
    <n v="19426.02"/>
    <n v="5139"/>
    <n v="24.35"/>
    <s v="-0.0604"/>
  </r>
  <r>
    <x v="1"/>
    <n v="4"/>
    <x v="3"/>
    <x v="3"/>
    <n v="2"/>
    <s v="Art &amp; Crafts"/>
    <s v="Downtown"/>
    <n v="9562"/>
    <n v="15018"/>
    <n v="133191.82"/>
    <n v="99959.82"/>
    <n v="33232"/>
    <n v="31.83"/>
    <s v="4.422"/>
  </r>
  <r>
    <x v="1"/>
    <n v="4"/>
    <x v="3"/>
    <x v="3"/>
    <n v="2"/>
    <s v="Sports &amp; Outdoors"/>
    <s v="Commercial"/>
    <n v="1752"/>
    <n v="2077"/>
    <n v="28021.23"/>
    <n v="21558.23"/>
    <n v="6463"/>
    <n v="22.73"/>
    <s v="-0.7897"/>
  </r>
  <r>
    <x v="1"/>
    <n v="5"/>
    <x v="4"/>
    <x v="4"/>
    <n v="2"/>
    <s v="Art &amp; Crafts"/>
    <s v="Airport"/>
    <n v="1277"/>
    <n v="2033"/>
    <n v="19281.669999999998"/>
    <n v="14111.67"/>
    <n v="5170"/>
    <n v="31.22"/>
    <s v="-0.3119"/>
  </r>
  <r>
    <x v="1"/>
    <n v="5"/>
    <x v="4"/>
    <x v="4"/>
    <n v="2"/>
    <s v="Toys"/>
    <s v="Downtown"/>
    <n v="7311"/>
    <n v="8949"/>
    <n v="154995.51"/>
    <n v="122372.51"/>
    <n v="32623"/>
    <n v="24.17"/>
    <s v="7.0384"/>
  </r>
  <r>
    <x v="1"/>
    <n v="5"/>
    <x v="4"/>
    <x v="4"/>
    <n v="2"/>
    <s v="Sports &amp; Outdoors"/>
    <s v="Airport"/>
    <n v="743"/>
    <n v="1050"/>
    <n v="13929.5"/>
    <n v="10883.5"/>
    <n v="3046"/>
    <n v="21.68"/>
    <s v="-0.9102"/>
  </r>
  <r>
    <x v="1"/>
    <n v="5"/>
    <x v="4"/>
    <x v="4"/>
    <n v="2"/>
    <s v="Sports &amp; Outdoors"/>
    <s v="Residential"/>
    <n v="853"/>
    <n v="1004"/>
    <n v="12859.96"/>
    <n v="9923.9599999999991"/>
    <n v="2936"/>
    <n v="22.12"/>
    <s v="-0.0768"/>
  </r>
  <r>
    <x v="1"/>
    <n v="5"/>
    <x v="4"/>
    <x v="4"/>
    <n v="2"/>
    <s v="Electronics"/>
    <s v="Downtown"/>
    <n v="2197"/>
    <n v="2517"/>
    <n v="45937.83"/>
    <n v="28297.83"/>
    <n v="17640"/>
    <n v="40.65"/>
    <s v="2.5721"/>
  </r>
  <r>
    <x v="1"/>
    <n v="5"/>
    <x v="4"/>
    <x v="4"/>
    <n v="2"/>
    <s v="Games"/>
    <s v="Downtown"/>
    <n v="4319"/>
    <n v="4919"/>
    <n v="58537.81"/>
    <n v="41822.81"/>
    <n v="16715"/>
    <n v="34.700000000000003"/>
    <s v="0.2742"/>
  </r>
  <r>
    <x v="1"/>
    <n v="5"/>
    <x v="4"/>
    <x v="4"/>
    <n v="2"/>
    <s v="Electronics"/>
    <s v="Airport"/>
    <n v="353"/>
    <n v="416"/>
    <n v="7627.84"/>
    <n v="4731.84"/>
    <n v="2896"/>
    <n v="41.21"/>
    <s v="-0.8697"/>
  </r>
  <r>
    <x v="1"/>
    <n v="5"/>
    <x v="4"/>
    <x v="4"/>
    <n v="2"/>
    <s v="Electronics"/>
    <s v="Residential"/>
    <n v="375"/>
    <n v="437"/>
    <n v="7301.63"/>
    <n v="4052.63"/>
    <n v="3249"/>
    <n v="45.24"/>
    <s v="-0.0428"/>
  </r>
  <r>
    <x v="1"/>
    <n v="5"/>
    <x v="4"/>
    <x v="4"/>
    <n v="2"/>
    <s v="Toys"/>
    <s v="Commercial"/>
    <n v="2587"/>
    <n v="3182"/>
    <n v="56371.18"/>
    <n v="44864.18"/>
    <n v="11507"/>
    <n v="24.53"/>
    <s v="6.7203"/>
  </r>
  <r>
    <x v="1"/>
    <n v="5"/>
    <x v="4"/>
    <x v="4"/>
    <n v="2"/>
    <s v="Art &amp; Crafts"/>
    <s v="Commercial"/>
    <n v="3190"/>
    <n v="4531"/>
    <n v="45032.69"/>
    <n v="34268.69"/>
    <n v="10764"/>
    <n v="31.06"/>
    <s v="-0.2012"/>
  </r>
  <r>
    <x v="1"/>
    <n v="5"/>
    <x v="4"/>
    <x v="4"/>
    <n v="2"/>
    <s v="Sports &amp; Outdoors"/>
    <s v="Downtown"/>
    <n v="5140"/>
    <n v="6016"/>
    <n v="77372.84"/>
    <n v="58739.839999999997"/>
    <n v="18633"/>
    <n v="23.13"/>
    <s v="0.7181"/>
  </r>
  <r>
    <x v="1"/>
    <n v="5"/>
    <x v="4"/>
    <x v="4"/>
    <n v="2"/>
    <s v="Games"/>
    <s v="Airport"/>
    <n v="758"/>
    <n v="1060"/>
    <n v="12463.4"/>
    <n v="8190.4"/>
    <n v="4273"/>
    <n v="38.79"/>
    <s v="-0.839"/>
  </r>
  <r>
    <x v="1"/>
    <n v="5"/>
    <x v="4"/>
    <x v="4"/>
    <n v="2"/>
    <s v="Toys"/>
    <s v="Residential"/>
    <n v="1372"/>
    <n v="1642"/>
    <n v="29215.58"/>
    <n v="23058.58"/>
    <n v="6157"/>
    <n v="23.92"/>
    <s v="1.3441"/>
  </r>
  <r>
    <x v="1"/>
    <n v="5"/>
    <x v="4"/>
    <x v="4"/>
    <n v="2"/>
    <s v="Games"/>
    <s v="Residential"/>
    <n v="856"/>
    <n v="1108"/>
    <n v="12605.92"/>
    <n v="8813.92"/>
    <n v="3792"/>
    <n v="36.36"/>
    <s v="-0.5686"/>
  </r>
  <r>
    <x v="1"/>
    <n v="5"/>
    <x v="4"/>
    <x v="4"/>
    <n v="2"/>
    <s v="Art &amp; Crafts"/>
    <s v="Downtown"/>
    <n v="9578"/>
    <n v="14493"/>
    <n v="136115.07"/>
    <n v="103209.07"/>
    <n v="32906"/>
    <n v="30.7"/>
    <s v="9.7977"/>
  </r>
  <r>
    <x v="1"/>
    <n v="5"/>
    <x v="4"/>
    <x v="4"/>
    <n v="2"/>
    <s v="Electronics"/>
    <s v="Commercial"/>
    <n v="1031"/>
    <n v="1311"/>
    <n v="23036.89"/>
    <n v="13629.89"/>
    <n v="9407"/>
    <n v="42.72"/>
    <s v="-0.8308"/>
  </r>
  <r>
    <x v="1"/>
    <n v="5"/>
    <x v="4"/>
    <x v="4"/>
    <n v="2"/>
    <s v="Toys"/>
    <s v="Airport"/>
    <n v="1165"/>
    <n v="1492"/>
    <n v="27793.08"/>
    <n v="21678.080000000002"/>
    <n v="6115"/>
    <n v="26.22"/>
    <s v="0.2064"/>
  </r>
  <r>
    <x v="1"/>
    <n v="5"/>
    <x v="4"/>
    <x v="4"/>
    <n v="2"/>
    <s v="Sports &amp; Outdoors"/>
    <s v="Commercial"/>
    <n v="1937"/>
    <n v="2451"/>
    <n v="33219.49"/>
    <n v="25282.49"/>
    <n v="7937"/>
    <n v="23.58"/>
    <s v="0.1952"/>
  </r>
  <r>
    <x v="1"/>
    <n v="5"/>
    <x v="4"/>
    <x v="4"/>
    <n v="2"/>
    <s v="Art &amp; Crafts"/>
    <s v="Residential"/>
    <n v="1893"/>
    <n v="3156"/>
    <n v="26414.44"/>
    <n v="18779.439999999999"/>
    <n v="7635"/>
    <n v="35.49"/>
    <s v="-0.2049"/>
  </r>
  <r>
    <x v="1"/>
    <n v="5"/>
    <x v="4"/>
    <x v="4"/>
    <n v="2"/>
    <s v="Games"/>
    <s v="Commercial"/>
    <n v="1707"/>
    <n v="2084"/>
    <n v="25207.16"/>
    <n v="18261.16"/>
    <n v="6946"/>
    <n v="35.42"/>
    <s v="-0.0458"/>
  </r>
  <r>
    <x v="1"/>
    <n v="6"/>
    <x v="5"/>
    <x v="5"/>
    <n v="2"/>
    <s v="Art &amp; Crafts"/>
    <s v="Downtown"/>
    <n v="9427"/>
    <n v="14844"/>
    <n v="126058.56"/>
    <n v="94451.56"/>
    <n v="31607"/>
    <n v="31.57"/>
    <s v="4.0009"/>
  </r>
  <r>
    <x v="1"/>
    <n v="6"/>
    <x v="5"/>
    <x v="5"/>
    <n v="2"/>
    <s v="Games"/>
    <s v="Downtown"/>
    <n v="3956"/>
    <n v="4596"/>
    <n v="52065.04"/>
    <n v="35656.04"/>
    <n v="16409"/>
    <n v="38.11"/>
    <s v="-0.587"/>
  </r>
  <r>
    <x v="1"/>
    <n v="6"/>
    <x v="5"/>
    <x v="5"/>
    <n v="2"/>
    <s v="Electronics"/>
    <s v="Residential"/>
    <n v="314"/>
    <n v="358"/>
    <n v="6354.42"/>
    <n v="3794.42"/>
    <n v="2560"/>
    <n v="41.73"/>
    <s v="-0.878"/>
  </r>
  <r>
    <x v="1"/>
    <n v="6"/>
    <x v="5"/>
    <x v="5"/>
    <n v="2"/>
    <s v="Toys"/>
    <s v="Downtown"/>
    <n v="7822"/>
    <n v="9526"/>
    <n v="165207.74"/>
    <n v="129859.74"/>
    <n v="35348"/>
    <n v="24.72"/>
    <s v="24.9988"/>
  </r>
  <r>
    <x v="1"/>
    <n v="6"/>
    <x v="5"/>
    <x v="5"/>
    <n v="2"/>
    <s v="Toys"/>
    <s v="Residential"/>
    <n v="1434"/>
    <n v="1801"/>
    <n v="30124.99"/>
    <n v="23245.99"/>
    <n v="6879"/>
    <n v="25.86"/>
    <s v="-0.8177"/>
  </r>
  <r>
    <x v="1"/>
    <n v="6"/>
    <x v="5"/>
    <x v="5"/>
    <n v="2"/>
    <s v="Art &amp; Crafts"/>
    <s v="Residential"/>
    <n v="1921"/>
    <n v="2772"/>
    <n v="20846.28"/>
    <n v="15127.28"/>
    <n v="5719"/>
    <n v="33.92"/>
    <s v="-0.3081"/>
  </r>
  <r>
    <x v="1"/>
    <n v="6"/>
    <x v="5"/>
    <x v="5"/>
    <n v="2"/>
    <s v="Art &amp; Crafts"/>
    <s v="Airport"/>
    <n v="1076"/>
    <n v="1646"/>
    <n v="13148.54"/>
    <n v="9710.5400000000009"/>
    <n v="3438"/>
    <n v="31.51"/>
    <s v="-0.3693"/>
  </r>
  <r>
    <x v="1"/>
    <n v="6"/>
    <x v="5"/>
    <x v="5"/>
    <n v="2"/>
    <s v="Toys"/>
    <s v="Airport"/>
    <n v="1263"/>
    <n v="1691"/>
    <n v="35779.089999999997"/>
    <n v="28693.09"/>
    <n v="7086"/>
    <n v="24.49"/>
    <s v="1.7211"/>
  </r>
  <r>
    <x v="1"/>
    <n v="6"/>
    <x v="5"/>
    <x v="5"/>
    <n v="2"/>
    <s v="Games"/>
    <s v="Commercial"/>
    <n v="1799"/>
    <n v="1988"/>
    <n v="23802.12"/>
    <n v="16972.12"/>
    <n v="6830"/>
    <n v="35.26"/>
    <s v="-0.3348"/>
  </r>
  <r>
    <x v="1"/>
    <n v="6"/>
    <x v="5"/>
    <x v="5"/>
    <n v="2"/>
    <s v="Sports &amp; Outdoors"/>
    <s v="Residential"/>
    <n v="873"/>
    <n v="1172"/>
    <n v="14317.28"/>
    <n v="11126.28"/>
    <n v="3191"/>
    <n v="21.92"/>
    <s v="-0.3985"/>
  </r>
  <r>
    <x v="1"/>
    <n v="6"/>
    <x v="5"/>
    <x v="5"/>
    <n v="2"/>
    <s v="Electronics"/>
    <s v="Airport"/>
    <n v="373"/>
    <n v="482"/>
    <n v="8444.18"/>
    <n v="4951.18"/>
    <n v="3493"/>
    <n v="44.88"/>
    <s v="-0.4103"/>
  </r>
  <r>
    <x v="1"/>
    <n v="6"/>
    <x v="5"/>
    <x v="5"/>
    <n v="2"/>
    <s v="Art &amp; Crafts"/>
    <s v="Commercial"/>
    <n v="3057"/>
    <n v="4472"/>
    <n v="42672.28"/>
    <n v="32935.279999999999"/>
    <n v="9737"/>
    <n v="29.96"/>
    <s v="4.0534"/>
  </r>
  <r>
    <x v="1"/>
    <n v="6"/>
    <x v="5"/>
    <x v="5"/>
    <n v="2"/>
    <s v="Games"/>
    <s v="Residential"/>
    <n v="897"/>
    <n v="1068"/>
    <n v="11820.32"/>
    <n v="8310.32"/>
    <n v="3510"/>
    <n v="35.11"/>
    <s v="-0.723"/>
  </r>
  <r>
    <x v="1"/>
    <n v="6"/>
    <x v="5"/>
    <x v="5"/>
    <n v="2"/>
    <s v="Games"/>
    <s v="Airport"/>
    <n v="736"/>
    <n v="1065"/>
    <n v="11506.35"/>
    <n v="7058.35"/>
    <n v="4448"/>
    <n v="40.93"/>
    <s v="-0.0266"/>
  </r>
  <r>
    <x v="1"/>
    <n v="6"/>
    <x v="5"/>
    <x v="5"/>
    <n v="2"/>
    <s v="Electronics"/>
    <s v="Downtown"/>
    <n v="2018"/>
    <n v="2422"/>
    <n v="43021.78"/>
    <n v="25677.78"/>
    <n v="17344"/>
    <n v="42.44"/>
    <s v="2.7389"/>
  </r>
  <r>
    <x v="1"/>
    <n v="6"/>
    <x v="5"/>
    <x v="5"/>
    <n v="2"/>
    <s v="Sports &amp; Outdoors"/>
    <s v="Downtown"/>
    <n v="5082"/>
    <n v="6529"/>
    <n v="78977.710000000006"/>
    <n v="61331.71"/>
    <n v="17646"/>
    <n v="21.71"/>
    <s v="0.8357"/>
  </r>
  <r>
    <x v="1"/>
    <n v="6"/>
    <x v="5"/>
    <x v="5"/>
    <n v="2"/>
    <s v="Sports &amp; Outdoors"/>
    <s v="Commercial"/>
    <n v="1733"/>
    <n v="2290"/>
    <n v="27560.1"/>
    <n v="21164.1"/>
    <n v="6396"/>
    <n v="22.68"/>
    <s v="-0.6511"/>
  </r>
  <r>
    <x v="1"/>
    <n v="6"/>
    <x v="5"/>
    <x v="5"/>
    <n v="2"/>
    <s v="Electronics"/>
    <s v="Commercial"/>
    <n v="1262"/>
    <n v="1504"/>
    <n v="26783.96"/>
    <n v="16042.96"/>
    <n v="10741"/>
    <n v="42.38"/>
    <s v="-0.0282"/>
  </r>
  <r>
    <x v="1"/>
    <n v="6"/>
    <x v="5"/>
    <x v="5"/>
    <n v="2"/>
    <s v="Sports &amp; Outdoors"/>
    <s v="Airport"/>
    <n v="506"/>
    <n v="736"/>
    <n v="8771.64"/>
    <n v="6999.64"/>
    <n v="1772"/>
    <n v="19.82"/>
    <s v="-0.6726"/>
  </r>
  <r>
    <x v="1"/>
    <n v="6"/>
    <x v="5"/>
    <x v="5"/>
    <n v="2"/>
    <s v="Toys"/>
    <s v="Commercial"/>
    <n v="2872"/>
    <n v="3313"/>
    <n v="61036.87"/>
    <n v="47978.87"/>
    <n v="13058"/>
    <n v="24.74"/>
    <s v="5.9584"/>
  </r>
  <r>
    <x v="1"/>
    <n v="7"/>
    <x v="6"/>
    <x v="6"/>
    <n v="3"/>
    <s v="Electronics"/>
    <s v="Downtown"/>
    <n v="2148"/>
    <n v="2574"/>
    <n v="45493.26"/>
    <n v="26982.26"/>
    <n v="18511"/>
    <n v="43.19"/>
    <s v="-0.2547"/>
  </r>
  <r>
    <x v="1"/>
    <n v="7"/>
    <x v="6"/>
    <x v="6"/>
    <n v="3"/>
    <s v="Games"/>
    <s v="Residential"/>
    <n v="629"/>
    <n v="736"/>
    <n v="8667.64"/>
    <n v="6320.64"/>
    <n v="2347"/>
    <n v="34.520000000000003"/>
    <s v="-0.8095"/>
  </r>
  <r>
    <x v="1"/>
    <n v="7"/>
    <x v="6"/>
    <x v="6"/>
    <n v="3"/>
    <s v="Toys"/>
    <s v="Downtown"/>
    <n v="7365"/>
    <n v="8993"/>
    <n v="160776.07"/>
    <n v="130066.07"/>
    <n v="30710"/>
    <n v="22.67"/>
    <s v="17.549"/>
  </r>
  <r>
    <x v="1"/>
    <n v="7"/>
    <x v="6"/>
    <x v="6"/>
    <n v="3"/>
    <s v="Art &amp; Crafts"/>
    <s v="Airport"/>
    <n v="1394"/>
    <n v="2057"/>
    <n v="19236.43"/>
    <n v="13177.43"/>
    <n v="6059"/>
    <n v="34.06"/>
    <s v="-0.8804"/>
  </r>
  <r>
    <x v="1"/>
    <n v="7"/>
    <x v="6"/>
    <x v="6"/>
    <n v="3"/>
    <s v="Sports &amp; Outdoors"/>
    <s v="Airport"/>
    <n v="840"/>
    <n v="1252"/>
    <n v="15428.48"/>
    <n v="12423.48"/>
    <n v="3005"/>
    <n v="19.32"/>
    <s v="-0.198"/>
  </r>
  <r>
    <x v="1"/>
    <n v="7"/>
    <x v="6"/>
    <x v="6"/>
    <n v="3"/>
    <s v="Art &amp; Crafts"/>
    <s v="Downtown"/>
    <n v="8980"/>
    <n v="13135"/>
    <n v="115671.65"/>
    <n v="86503.65"/>
    <n v="29168"/>
    <n v="31.52"/>
    <s v="6.4972"/>
  </r>
  <r>
    <x v="1"/>
    <n v="7"/>
    <x v="6"/>
    <x v="6"/>
    <n v="3"/>
    <s v="Electronics"/>
    <s v="Residential"/>
    <n v="352"/>
    <n v="453"/>
    <n v="7415.47"/>
    <n v="3976.47"/>
    <n v="3439"/>
    <n v="48.31"/>
    <s v="-0.9359"/>
  </r>
  <r>
    <x v="1"/>
    <n v="7"/>
    <x v="6"/>
    <x v="6"/>
    <n v="3"/>
    <s v="Games"/>
    <s v="Airport"/>
    <n v="712"/>
    <n v="1056"/>
    <n v="12705.44"/>
    <n v="8890.44"/>
    <n v="3815"/>
    <n v="36.86"/>
    <s v="0.7133"/>
  </r>
  <r>
    <x v="1"/>
    <n v="7"/>
    <x v="6"/>
    <x v="6"/>
    <n v="3"/>
    <s v="Art &amp; Crafts"/>
    <s v="Residential"/>
    <n v="1724"/>
    <n v="2611"/>
    <n v="22327.89"/>
    <n v="15427.89"/>
    <n v="6900"/>
    <n v="35.270000000000003"/>
    <s v="0.7573"/>
  </r>
  <r>
    <x v="1"/>
    <n v="7"/>
    <x v="6"/>
    <x v="6"/>
    <n v="3"/>
    <s v="Sports &amp; Outdoors"/>
    <s v="Downtown"/>
    <n v="4726"/>
    <n v="5956"/>
    <n v="73555.44"/>
    <n v="57063.44"/>
    <n v="16492"/>
    <n v="21.86"/>
    <s v="2.2943"/>
  </r>
  <r>
    <x v="1"/>
    <n v="7"/>
    <x v="6"/>
    <x v="6"/>
    <n v="3"/>
    <s v="Electronics"/>
    <s v="Airport"/>
    <n v="397"/>
    <n v="457"/>
    <n v="8284.43"/>
    <n v="5054.43"/>
    <n v="3230"/>
    <n v="42.72"/>
    <s v="-0.8874"/>
  </r>
  <r>
    <x v="1"/>
    <n v="7"/>
    <x v="6"/>
    <x v="6"/>
    <n v="3"/>
    <s v="Toys"/>
    <s v="Airport"/>
    <n v="1381"/>
    <n v="1788"/>
    <n v="36567.120000000003"/>
    <n v="29482.12"/>
    <n v="7085"/>
    <n v="23.49"/>
    <s v="3.4139"/>
  </r>
  <r>
    <x v="1"/>
    <n v="7"/>
    <x v="6"/>
    <x v="6"/>
    <n v="3"/>
    <s v="Electronics"/>
    <s v="Commercial"/>
    <n v="1228"/>
    <n v="1601"/>
    <n v="27403.99"/>
    <n v="15616.99"/>
    <n v="11787"/>
    <n v="44.11"/>
    <s v="-0.2506"/>
  </r>
  <r>
    <x v="1"/>
    <n v="7"/>
    <x v="6"/>
    <x v="6"/>
    <n v="3"/>
    <s v="Toys"/>
    <s v="Residential"/>
    <n v="1430"/>
    <n v="1814"/>
    <n v="33311.86"/>
    <n v="26265.86"/>
    <n v="7046"/>
    <n v="26.25"/>
    <s v="0.2155"/>
  </r>
  <r>
    <x v="1"/>
    <n v="7"/>
    <x v="6"/>
    <x v="6"/>
    <n v="3"/>
    <s v="Sports &amp; Outdoors"/>
    <s v="Residential"/>
    <n v="811"/>
    <n v="1024"/>
    <n v="12504.76"/>
    <n v="9681.76"/>
    <n v="2823"/>
    <n v="21.61"/>
    <s v="-0.6247"/>
  </r>
  <r>
    <x v="1"/>
    <n v="7"/>
    <x v="6"/>
    <x v="6"/>
    <n v="3"/>
    <s v="Sports &amp; Outdoors"/>
    <s v="Commercial"/>
    <n v="1772"/>
    <n v="2151"/>
    <n v="27442.49"/>
    <n v="20939.490000000002"/>
    <n v="6503"/>
    <n v="22.61"/>
    <s v="1.1945"/>
  </r>
  <r>
    <x v="1"/>
    <n v="7"/>
    <x v="6"/>
    <x v="6"/>
    <n v="3"/>
    <s v="Games"/>
    <s v="Commercial"/>
    <n v="1926"/>
    <n v="2209"/>
    <n v="23707.91"/>
    <n v="16183.91"/>
    <n v="7524"/>
    <n v="37.18"/>
    <s v="-0.1361"/>
  </r>
  <r>
    <x v="1"/>
    <n v="7"/>
    <x v="6"/>
    <x v="6"/>
    <n v="3"/>
    <s v="Games"/>
    <s v="Downtown"/>
    <n v="4538"/>
    <n v="5441"/>
    <n v="62191.59"/>
    <n v="43921.59"/>
    <n v="18270"/>
    <n v="35.5"/>
    <s v="1.6232"/>
  </r>
  <r>
    <x v="1"/>
    <n v="7"/>
    <x v="6"/>
    <x v="6"/>
    <n v="3"/>
    <s v="Art &amp; Crafts"/>
    <s v="Commercial"/>
    <n v="3335"/>
    <n v="4699"/>
    <n v="49627.01"/>
    <n v="36954.01"/>
    <n v="12673"/>
    <n v="30.17"/>
    <s v="-0.2021"/>
  </r>
  <r>
    <x v="1"/>
    <n v="7"/>
    <x v="6"/>
    <x v="6"/>
    <n v="3"/>
    <s v="Toys"/>
    <s v="Commercial"/>
    <n v="2820"/>
    <n v="3607"/>
    <n v="66029.929999999993"/>
    <n v="53609.93"/>
    <n v="12420"/>
    <n v="22.5"/>
    <s v="0.3305"/>
  </r>
  <r>
    <x v="1"/>
    <n v="8"/>
    <x v="7"/>
    <x v="7"/>
    <n v="3"/>
    <s v="Games"/>
    <s v="Airport"/>
    <n v="682"/>
    <n v="904"/>
    <n v="9831.9599999999991"/>
    <n v="7008.96"/>
    <n v="2823"/>
    <n v="34.96"/>
    <s v="-0.8511"/>
  </r>
  <r>
    <x v="1"/>
    <n v="8"/>
    <x v="7"/>
    <x v="7"/>
    <n v="3"/>
    <s v="Toys"/>
    <s v="Commercial"/>
    <n v="2335"/>
    <n v="2670"/>
    <n v="46773.3"/>
    <n v="37032.300000000003"/>
    <n v="9741"/>
    <n v="24.15"/>
    <s v="3.7572"/>
  </r>
  <r>
    <x v="1"/>
    <n v="8"/>
    <x v="7"/>
    <x v="7"/>
    <n v="3"/>
    <s v="Art &amp; Crafts"/>
    <s v="Downtown"/>
    <n v="7536"/>
    <n v="10863"/>
    <n v="93549.37"/>
    <n v="66829.37"/>
    <n v="26720"/>
    <n v="32.97"/>
    <s v="1.00"/>
  </r>
  <r>
    <x v="1"/>
    <n v="8"/>
    <x v="7"/>
    <x v="7"/>
    <n v="3"/>
    <s v="Electronics"/>
    <s v="Commercial"/>
    <n v="1096"/>
    <n v="1229"/>
    <n v="21549.71"/>
    <n v="12668.71"/>
    <n v="8881"/>
    <n v="44.02"/>
    <s v="-0.7697"/>
  </r>
  <r>
    <x v="1"/>
    <n v="8"/>
    <x v="7"/>
    <x v="7"/>
    <n v="3"/>
    <s v="Sports &amp; Outdoors"/>
    <s v="Downtown"/>
    <n v="3796"/>
    <n v="4722"/>
    <n v="59408.78"/>
    <n v="45306.78"/>
    <n v="14102"/>
    <n v="23.12"/>
    <s v="1.7568"/>
  </r>
  <r>
    <x v="1"/>
    <n v="8"/>
    <x v="7"/>
    <x v="7"/>
    <n v="3"/>
    <s v="Electronics"/>
    <s v="Airport"/>
    <n v="335"/>
    <n v="385"/>
    <n v="6296.15"/>
    <n v="3385.15"/>
    <n v="2911"/>
    <n v="47.19"/>
    <s v="-0.8941"/>
  </r>
  <r>
    <x v="1"/>
    <n v="8"/>
    <x v="7"/>
    <x v="7"/>
    <n v="3"/>
    <s v="Art &amp; Crafts"/>
    <s v="Commercial"/>
    <n v="2282"/>
    <n v="3444"/>
    <n v="31737.56"/>
    <n v="23005.56"/>
    <n v="8732"/>
    <n v="32.47"/>
    <s v="4.0407"/>
  </r>
  <r>
    <x v="1"/>
    <n v="8"/>
    <x v="7"/>
    <x v="7"/>
    <n v="3"/>
    <s v="Toys"/>
    <s v="Residential"/>
    <n v="1319"/>
    <n v="1526"/>
    <n v="28642.74"/>
    <n v="22613.74"/>
    <n v="6029"/>
    <n v="24.93"/>
    <s v="-0.0976"/>
  </r>
  <r>
    <x v="1"/>
    <n v="8"/>
    <x v="7"/>
    <x v="7"/>
    <n v="3"/>
    <s v="Art &amp; Crafts"/>
    <s v="Residential"/>
    <n v="1493"/>
    <n v="2055"/>
    <n v="17083.45"/>
    <n v="11496.45"/>
    <n v="5587"/>
    <n v="37.04"/>
    <s v="-0.4036"/>
  </r>
  <r>
    <x v="1"/>
    <n v="8"/>
    <x v="7"/>
    <x v="7"/>
    <n v="3"/>
    <s v="Sports &amp; Outdoors"/>
    <s v="Airport"/>
    <n v="568"/>
    <n v="637"/>
    <n v="8313.6299999999992"/>
    <n v="6396.63"/>
    <n v="1917"/>
    <n v="21.77"/>
    <s v="-0.5134"/>
  </r>
  <r>
    <x v="1"/>
    <n v="8"/>
    <x v="7"/>
    <x v="7"/>
    <n v="3"/>
    <s v="Art &amp; Crafts"/>
    <s v="Airport"/>
    <n v="979"/>
    <n v="1475"/>
    <n v="12925.25"/>
    <n v="9361.25"/>
    <n v="3564"/>
    <n v="31"/>
    <s v="0.5547"/>
  </r>
  <r>
    <x v="1"/>
    <n v="8"/>
    <x v="7"/>
    <x v="7"/>
    <n v="3"/>
    <s v="Sports &amp; Outdoors"/>
    <s v="Residential"/>
    <n v="640"/>
    <n v="738"/>
    <n v="10161.620000000001"/>
    <n v="7644.62"/>
    <n v="2517"/>
    <n v="23.77"/>
    <s v="-0.2139"/>
  </r>
  <r>
    <x v="1"/>
    <n v="8"/>
    <x v="7"/>
    <x v="7"/>
    <n v="3"/>
    <s v="Games"/>
    <s v="Commercial"/>
    <n v="1433"/>
    <n v="1522"/>
    <n v="16635.78"/>
    <n v="11875.78"/>
    <n v="4760"/>
    <n v="34.94"/>
    <s v="0.6371"/>
  </r>
  <r>
    <x v="1"/>
    <n v="8"/>
    <x v="7"/>
    <x v="7"/>
    <n v="3"/>
    <s v="Sports &amp; Outdoors"/>
    <s v="Commercial"/>
    <n v="1409"/>
    <n v="1644"/>
    <n v="20879.560000000001"/>
    <n v="16131.56"/>
    <n v="4748"/>
    <n v="21.88"/>
    <s v="0.255"/>
  </r>
  <r>
    <x v="1"/>
    <n v="8"/>
    <x v="7"/>
    <x v="7"/>
    <n v="3"/>
    <s v="Toys"/>
    <s v="Airport"/>
    <n v="1122"/>
    <n v="1368"/>
    <n v="24965.32"/>
    <n v="20161.32"/>
    <n v="4804"/>
    <n v="22.25"/>
    <s v="0.1956"/>
  </r>
  <r>
    <x v="1"/>
    <n v="8"/>
    <x v="7"/>
    <x v="7"/>
    <n v="3"/>
    <s v="Toys"/>
    <s v="Downtown"/>
    <n v="6530"/>
    <n v="7585"/>
    <n v="135080.15"/>
    <n v="107799.15"/>
    <n v="27281"/>
    <n v="23.65"/>
    <s v="4.4107"/>
  </r>
  <r>
    <x v="1"/>
    <n v="8"/>
    <x v="7"/>
    <x v="7"/>
    <n v="3"/>
    <s v="Games"/>
    <s v="Downtown"/>
    <n v="3594"/>
    <n v="4334"/>
    <n v="50972.66"/>
    <n v="36916.660000000003"/>
    <n v="14056"/>
    <n v="33.43"/>
    <s v="-0.6227"/>
  </r>
  <r>
    <x v="1"/>
    <n v="8"/>
    <x v="7"/>
    <x v="7"/>
    <n v="3"/>
    <s v="Electronics"/>
    <s v="Downtown"/>
    <n v="2149"/>
    <n v="2514"/>
    <n v="44766.86"/>
    <n v="26832.86"/>
    <n v="17934"/>
    <n v="42.83"/>
    <s v="-0.1218"/>
  </r>
  <r>
    <x v="1"/>
    <n v="8"/>
    <x v="7"/>
    <x v="7"/>
    <n v="3"/>
    <s v="Electronics"/>
    <s v="Residential"/>
    <n v="563"/>
    <n v="684"/>
    <n v="11986.16"/>
    <n v="7027.16"/>
    <n v="4959"/>
    <n v="43.56"/>
    <s v="-0.7323"/>
  </r>
  <r>
    <x v="1"/>
    <n v="8"/>
    <x v="7"/>
    <x v="7"/>
    <n v="3"/>
    <s v="Games"/>
    <s v="Residential"/>
    <n v="718"/>
    <n v="894"/>
    <n v="9317.06"/>
    <n v="6345.06"/>
    <n v="2972"/>
    <n v="35.67"/>
    <s v="-0.2227"/>
  </r>
  <r>
    <x v="1"/>
    <n v="9"/>
    <x v="8"/>
    <x v="8"/>
    <n v="3"/>
    <s v="Sports &amp; Outdoors"/>
    <s v="Residential"/>
    <n v="846"/>
    <n v="1082"/>
    <n v="14348.18"/>
    <n v="10732.18"/>
    <n v="3616"/>
    <n v="24.38"/>
    <s v="0.5399"/>
  </r>
  <r>
    <x v="1"/>
    <n v="9"/>
    <x v="8"/>
    <x v="8"/>
    <n v="3"/>
    <s v="Art &amp; Crafts"/>
    <s v="Airport"/>
    <n v="946"/>
    <n v="1286"/>
    <n v="10840.14"/>
    <n v="7559.14"/>
    <n v="3281"/>
    <n v="34.479999999999997"/>
    <s v="-0.2445"/>
  </r>
  <r>
    <x v="1"/>
    <n v="9"/>
    <x v="8"/>
    <x v="8"/>
    <n v="3"/>
    <s v="Sports &amp; Outdoors"/>
    <s v="Downtown"/>
    <n v="3781"/>
    <n v="4542"/>
    <n v="61638.58"/>
    <n v="46365.58"/>
    <n v="15273"/>
    <n v="23.96"/>
    <s v="4.6861"/>
  </r>
  <r>
    <x v="1"/>
    <n v="9"/>
    <x v="8"/>
    <x v="8"/>
    <n v="3"/>
    <s v="Games"/>
    <s v="Residential"/>
    <n v="539"/>
    <n v="579"/>
    <n v="7698.21"/>
    <n v="5888.21"/>
    <n v="1810"/>
    <n v="28.1"/>
    <s v="-0.8752"/>
  </r>
  <r>
    <x v="1"/>
    <n v="9"/>
    <x v="8"/>
    <x v="8"/>
    <n v="3"/>
    <s v="Art &amp; Crafts"/>
    <s v="Downtown"/>
    <n v="9665"/>
    <n v="12913"/>
    <n v="112502.87"/>
    <n v="76853.87"/>
    <n v="35649"/>
    <n v="36.119999999999997"/>
    <s v="13.6141"/>
  </r>
  <r>
    <x v="1"/>
    <n v="9"/>
    <x v="8"/>
    <x v="8"/>
    <n v="3"/>
    <s v="Toys"/>
    <s v="Airport"/>
    <n v="605"/>
    <n v="758"/>
    <n v="16968.419999999998"/>
    <n v="14313.42"/>
    <n v="2655"/>
    <n v="20.69"/>
    <s v="-0.8492"/>
  </r>
  <r>
    <x v="1"/>
    <n v="9"/>
    <x v="8"/>
    <x v="8"/>
    <n v="3"/>
    <s v="Electronics"/>
    <s v="Residential"/>
    <n v="429"/>
    <n v="546"/>
    <n v="9094.5400000000009"/>
    <n v="4996.54"/>
    <n v="4098"/>
    <n v="45.92"/>
    <s v="-0.4641"/>
  </r>
  <r>
    <x v="1"/>
    <n v="9"/>
    <x v="8"/>
    <x v="8"/>
    <n v="3"/>
    <s v="Art &amp; Crafts"/>
    <s v="Residential"/>
    <n v="1910"/>
    <n v="2612"/>
    <n v="22896.880000000001"/>
    <n v="15370.88"/>
    <n v="7526"/>
    <n v="36.76"/>
    <s v="1.5176"/>
  </r>
  <r>
    <x v="1"/>
    <n v="9"/>
    <x v="8"/>
    <x v="8"/>
    <n v="3"/>
    <s v="Games"/>
    <s v="Commercial"/>
    <n v="1367"/>
    <n v="1598"/>
    <n v="16917.02"/>
    <n v="11600.02"/>
    <n v="5317"/>
    <n v="35.950000000000003"/>
    <s v="-0.2612"/>
  </r>
  <r>
    <x v="1"/>
    <n v="9"/>
    <x v="8"/>
    <x v="8"/>
    <n v="3"/>
    <s v="Toys"/>
    <s v="Commercial"/>
    <n v="1996"/>
    <n v="2454"/>
    <n v="39023.46"/>
    <n v="30811.46"/>
    <n v="8212"/>
    <n v="23.21"/>
    <s v="1.3067"/>
  </r>
  <r>
    <x v="1"/>
    <n v="9"/>
    <x v="8"/>
    <x v="8"/>
    <n v="3"/>
    <s v="Art &amp; Crafts"/>
    <s v="Commercial"/>
    <n v="3285"/>
    <n v="4425"/>
    <n v="40989.75"/>
    <n v="27397.75"/>
    <n v="13592"/>
    <n v="36.18"/>
    <s v="0.0503"/>
  </r>
  <r>
    <x v="1"/>
    <n v="9"/>
    <x v="8"/>
    <x v="8"/>
    <n v="3"/>
    <s v="Toys"/>
    <s v="Downtown"/>
    <n v="6420"/>
    <n v="7599"/>
    <n v="132597.01"/>
    <n v="105516.01"/>
    <n v="27081"/>
    <n v="23.55"/>
    <s v="2.2348"/>
  </r>
  <r>
    <x v="1"/>
    <n v="9"/>
    <x v="8"/>
    <x v="8"/>
    <n v="3"/>
    <s v="Toys"/>
    <s v="Residential"/>
    <n v="1282"/>
    <n v="1466"/>
    <n v="26214.34"/>
    <n v="20726.34"/>
    <n v="5488"/>
    <n v="24.2"/>
    <s v="-0.8024"/>
  </r>
  <r>
    <x v="1"/>
    <n v="9"/>
    <x v="8"/>
    <x v="8"/>
    <n v="3"/>
    <s v="Electronics"/>
    <s v="Commercial"/>
    <n v="777"/>
    <n v="911"/>
    <n v="16201.89"/>
    <n v="9707.89"/>
    <n v="6494"/>
    <n v="42.68"/>
    <s v="-0.382"/>
  </r>
  <r>
    <x v="1"/>
    <n v="9"/>
    <x v="8"/>
    <x v="8"/>
    <n v="3"/>
    <s v="Games"/>
    <s v="Downtown"/>
    <n v="3113"/>
    <n v="3513"/>
    <n v="40742.870000000003"/>
    <n v="29458.87"/>
    <n v="11284"/>
    <n v="33.57"/>
    <s v="1.5146"/>
  </r>
  <r>
    <x v="1"/>
    <n v="9"/>
    <x v="8"/>
    <x v="8"/>
    <n v="3"/>
    <s v="Sports &amp; Outdoors"/>
    <s v="Commercial"/>
    <n v="1565"/>
    <n v="1950"/>
    <n v="26408.5"/>
    <n v="20092.5"/>
    <n v="6316"/>
    <n v="23.25"/>
    <s v="-0.3519"/>
  </r>
  <r>
    <x v="1"/>
    <n v="9"/>
    <x v="8"/>
    <x v="8"/>
    <n v="3"/>
    <s v="Electronics"/>
    <s v="Airport"/>
    <n v="291"/>
    <n v="376"/>
    <n v="6619.24"/>
    <n v="3926.24"/>
    <n v="2693"/>
    <n v="41.51"/>
    <s v="-0.7494"/>
  </r>
  <r>
    <x v="1"/>
    <n v="9"/>
    <x v="8"/>
    <x v="8"/>
    <n v="3"/>
    <s v="Electronics"/>
    <s v="Downtown"/>
    <n v="1948"/>
    <n v="2249"/>
    <n v="40631.51"/>
    <n v="24722.51"/>
    <n v="15909"/>
    <n v="41.46"/>
    <s v="5.1383"/>
  </r>
  <r>
    <x v="1"/>
    <n v="9"/>
    <x v="8"/>
    <x v="8"/>
    <n v="3"/>
    <s v="Games"/>
    <s v="Airport"/>
    <n v="560"/>
    <n v="621"/>
    <n v="6792.79"/>
    <n v="4681.79"/>
    <n v="2111"/>
    <n v="35.93"/>
    <s v="-0.8329"/>
  </r>
  <r>
    <x v="1"/>
    <n v="9"/>
    <x v="8"/>
    <x v="8"/>
    <n v="3"/>
    <s v="Sports &amp; Outdoors"/>
    <s v="Airport"/>
    <n v="505"/>
    <n v="672"/>
    <n v="9068.2800000000007"/>
    <n v="7028.28"/>
    <n v="2040"/>
    <n v="21.63"/>
    <s v="0.334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2022"/>
    <x v="0"/>
    <x v="0"/>
    <n v="1"/>
    <s v="Weekend"/>
    <n v="910597.51"/>
    <n v="282044"/>
    <n v="33.159999999999997"/>
    <n v="12.17"/>
    <n v="17.55"/>
  </r>
  <r>
    <n v="2022"/>
    <x v="1"/>
    <x v="1"/>
    <n v="2"/>
    <s v="Weekday"/>
    <n v="783415.18"/>
    <n v="238749"/>
    <n v="32.67"/>
    <n v="10.47"/>
    <n v="17.350000000000001"/>
  </r>
  <r>
    <n v="2022"/>
    <x v="2"/>
    <x v="2"/>
    <n v="3"/>
    <s v="Weekday"/>
    <n v="882038.8"/>
    <n v="262243"/>
    <n v="32.549999999999997"/>
    <n v="11.79"/>
    <n v="17.96"/>
  </r>
  <r>
    <n v="2022"/>
    <x v="3"/>
    <x v="3"/>
    <n v="4"/>
    <s v="Weekday"/>
    <n v="921102.23"/>
    <n v="271908"/>
    <n v="32.130000000000003"/>
    <n v="12.31"/>
    <n v="17.739999999999998"/>
  </r>
  <r>
    <n v="2022"/>
    <x v="4"/>
    <x v="4"/>
    <n v="5"/>
    <s v="Weekday"/>
    <n v="1122262.58"/>
    <n v="328819"/>
    <n v="31.92"/>
    <n v="15"/>
    <n v="17.739999999999998"/>
  </r>
  <r>
    <n v="2022"/>
    <x v="5"/>
    <x v="5"/>
    <n v="6"/>
    <s v="Weekday"/>
    <n v="1397686.31"/>
    <n v="393038"/>
    <n v="31.29"/>
    <n v="18.68"/>
    <n v="18.05"/>
  </r>
  <r>
    <n v="2022"/>
    <x v="6"/>
    <x v="6"/>
    <n v="7"/>
    <s v="Weekend"/>
    <n v="1465395.47"/>
    <n v="412986"/>
    <n v="31.44"/>
    <n v="19.579999999999998"/>
    <n v="17.86"/>
  </r>
  <r>
    <n v="2023"/>
    <x v="0"/>
    <x v="0"/>
    <n v="1"/>
    <s v="Weekend"/>
    <n v="839146.49"/>
    <n v="223054"/>
    <n v="30.53"/>
    <n v="12.05"/>
    <n v="16.96"/>
  </r>
  <r>
    <n v="2023"/>
    <x v="1"/>
    <x v="1"/>
    <n v="2"/>
    <s v="Weekday"/>
    <n v="747714.83"/>
    <n v="201164"/>
    <n v="30.8"/>
    <n v="10.74"/>
    <n v="16.55"/>
  </r>
  <r>
    <n v="2023"/>
    <x v="2"/>
    <x v="2"/>
    <n v="3"/>
    <s v="Weekday"/>
    <n v="755453.39"/>
    <n v="198614"/>
    <n v="30.38"/>
    <n v="10.85"/>
    <n v="16.489999999999998"/>
  </r>
  <r>
    <n v="2023"/>
    <x v="3"/>
    <x v="3"/>
    <n v="4"/>
    <s v="Weekday"/>
    <n v="810966.36"/>
    <n v="214358"/>
    <n v="30.36"/>
    <n v="11.65"/>
    <n v="16.75"/>
  </r>
  <r>
    <n v="2023"/>
    <x v="4"/>
    <x v="4"/>
    <n v="5"/>
    <s v="Weekday"/>
    <n v="1061379.21"/>
    <n v="280723"/>
    <n v="30.65"/>
    <n v="15.25"/>
    <n v="17.18"/>
  </r>
  <r>
    <n v="2023"/>
    <x v="5"/>
    <x v="5"/>
    <n v="6"/>
    <s v="Weekday"/>
    <n v="1352615.95"/>
    <n v="348576"/>
    <n v="30.11"/>
    <n v="19.43"/>
    <n v="17.420000000000002"/>
  </r>
  <r>
    <n v="2023"/>
    <x v="6"/>
    <x v="6"/>
    <n v="7"/>
    <s v="Weekend"/>
    <n v="1394798.04"/>
    <n v="357753"/>
    <n v="30.08"/>
    <n v="20.03"/>
    <n v="17.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7BBB5C-163E-4B64-97DA-6D2CCC2CB480}" name="profit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3:B49" firstHeaderRow="1" firstDataRow="1" firstDataCol="1"/>
  <pivotFields count="11">
    <pivotField showAll="0"/>
    <pivotField showAll="0"/>
    <pivotField axis="axisRow" showAll="0">
      <items count="6">
        <item x="4"/>
        <item x="1"/>
        <item x="2"/>
        <item x="3"/>
        <item x="0"/>
        <item t="default"/>
      </items>
    </pivotField>
    <pivotField showAll="0"/>
    <pivotField showAll="0"/>
    <pivotField showAll="0"/>
    <pivotField showAll="0"/>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total_gross_profit" fld="7" showDataAs="percentOfTotal" baseField="0" baseItem="0" numFmtId="1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2"/>
          </reference>
        </references>
      </pivotArea>
    </chartFormat>
    <chartFormat chart="6" format="2">
      <pivotArea type="data" outline="0" fieldPosition="0">
        <references count="2">
          <reference field="4294967294" count="1" selected="0">
            <x v="0"/>
          </reference>
          <reference field="2" count="1" selected="0">
            <x v="3"/>
          </reference>
        </references>
      </pivotArea>
    </chartFormat>
    <chartFormat chart="6" format="3">
      <pivotArea type="data" outline="0" fieldPosition="0">
        <references count="2">
          <reference field="4294967294" count="1" selected="0">
            <x v="0"/>
          </reference>
          <reference field="2" count="1" selected="0">
            <x v="4"/>
          </reference>
        </references>
      </pivotArea>
    </chartFormat>
    <chartFormat chart="6" format="4">
      <pivotArea type="data" outline="0" fieldPosition="0">
        <references count="2">
          <reference field="4294967294" count="1" selected="0">
            <x v="0"/>
          </reference>
          <reference field="2" count="1" selected="0">
            <x v="0"/>
          </reference>
        </references>
      </pivotArea>
    </chartFormat>
    <chartFormat chart="6" format="5">
      <pivotArea type="data" outline="0" fieldPosition="0">
        <references count="2">
          <reference field="4294967294" count="1" selected="0">
            <x v="0"/>
          </reference>
          <reference field="2"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2" count="1" selected="0">
            <x v="0"/>
          </reference>
        </references>
      </pivotArea>
    </chartFormat>
    <chartFormat chart="9" format="14">
      <pivotArea type="data" outline="0" fieldPosition="0">
        <references count="2">
          <reference field="4294967294" count="1" selected="0">
            <x v="0"/>
          </reference>
          <reference field="2" count="1" selected="0">
            <x v="1"/>
          </reference>
        </references>
      </pivotArea>
    </chartFormat>
    <chartFormat chart="9" format="15">
      <pivotArea type="data" outline="0" fieldPosition="0">
        <references count="2">
          <reference field="4294967294" count="1" selected="0">
            <x v="0"/>
          </reference>
          <reference field="2" count="1" selected="0">
            <x v="2"/>
          </reference>
        </references>
      </pivotArea>
    </chartFormat>
    <chartFormat chart="9" format="16">
      <pivotArea type="data" outline="0" fieldPosition="0">
        <references count="2">
          <reference field="4294967294" count="1" selected="0">
            <x v="0"/>
          </reference>
          <reference field="2" count="1" selected="0">
            <x v="3"/>
          </reference>
        </references>
      </pivotArea>
    </chartFormat>
    <chartFormat chart="9"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5D7BFB-37A4-495C-A0B4-C9A3FE50BC99}" name="rev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9" firstHeaderRow="1" firstDataRow="1" firstDataCol="1"/>
  <pivotFields count="11">
    <pivotField showAll="0"/>
    <pivotField showAll="0"/>
    <pivotField axis="axisRow" showAll="0">
      <items count="6">
        <item x="4"/>
        <item x="1"/>
        <item x="2"/>
        <item x="3"/>
        <item x="0"/>
        <item t="default"/>
      </items>
    </pivotField>
    <pivotField showAll="0"/>
    <pivotField showAll="0"/>
    <pivotField dataField="1"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total_revenue" fld="5" showDataAs="percentOfTotal" baseField="0" baseItem="0" numFmtId="1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4"/>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2" count="1" selected="0">
            <x v="0"/>
          </reference>
        </references>
      </pivotArea>
    </chartFormat>
    <chartFormat chart="5" format="20">
      <pivotArea type="data" outline="0" fieldPosition="0">
        <references count="2">
          <reference field="4294967294" count="1" selected="0">
            <x v="0"/>
          </reference>
          <reference field="2" count="1" selected="0">
            <x v="1"/>
          </reference>
        </references>
      </pivotArea>
    </chartFormat>
    <chartFormat chart="5" format="21">
      <pivotArea type="data" outline="0" fieldPosition="0">
        <references count="2">
          <reference field="4294967294" count="1" selected="0">
            <x v="0"/>
          </reference>
          <reference field="2" count="1" selected="0">
            <x v="2"/>
          </reference>
        </references>
      </pivotArea>
    </chartFormat>
    <chartFormat chart="5" format="22">
      <pivotArea type="data" outline="0" fieldPosition="0">
        <references count="2">
          <reference field="4294967294" count="1" selected="0">
            <x v="0"/>
          </reference>
          <reference field="2" count="1" selected="0">
            <x v="3"/>
          </reference>
        </references>
      </pivotArea>
    </chartFormat>
    <chartFormat chart="5" format="2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E64C04-4B67-4C11-883D-3BFCD6DE2D76}" name="rev monthl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2:B85" firstHeaderRow="1" firstDataRow="1" firstDataCol="1"/>
  <pivotFields count="14">
    <pivotField showAll="0">
      <items count="3">
        <item x="0"/>
        <item x="1"/>
        <item t="default"/>
      </items>
    </pivotField>
    <pivotField showAll="0"/>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total_revenue" fld="9" baseField="2" baseItem="0" numFmtId="167"/>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97E701-0FE0-48EB-AE6F-33D62F2D2C9E}" name="top 5 store by re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B28" firstHeaderRow="1" firstDataRow="1" firstDataCol="1"/>
  <pivotFields count="14">
    <pivotField showAll="0"/>
    <pivotField axis="axisRow" showAll="0" measureFilter="1" sortType="ascending">
      <items count="51">
        <item x="39"/>
        <item x="14"/>
        <item x="49"/>
        <item x="31"/>
        <item x="36"/>
        <item x="25"/>
        <item x="37"/>
        <item x="2"/>
        <item x="0"/>
        <item x="8"/>
        <item x="11"/>
        <item x="15"/>
        <item x="47"/>
        <item x="34"/>
        <item x="46"/>
        <item x="30"/>
        <item x="29"/>
        <item x="1"/>
        <item x="5"/>
        <item x="13"/>
        <item x="20"/>
        <item x="23"/>
        <item x="41"/>
        <item x="12"/>
        <item x="6"/>
        <item x="48"/>
        <item x="42"/>
        <item x="16"/>
        <item x="17"/>
        <item x="21"/>
        <item x="4"/>
        <item x="18"/>
        <item x="10"/>
        <item x="24"/>
        <item x="38"/>
        <item x="40"/>
        <item x="32"/>
        <item x="19"/>
        <item x="26"/>
        <item x="9"/>
        <item x="35"/>
        <item x="28"/>
        <item x="22"/>
        <item x="3"/>
        <item x="45"/>
        <item x="44"/>
        <item x="33"/>
        <item x="27"/>
        <item x="7"/>
        <item x="43"/>
        <item t="default"/>
      </items>
      <autoSortScope>
        <pivotArea dataOnly="0" outline="0" fieldPosition="0">
          <references count="1">
            <reference field="4294967294" count="1" selected="0">
              <x v="0"/>
            </reference>
          </references>
        </pivotArea>
      </autoSortScope>
    </pivotField>
    <pivotField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s>
  <rowFields count="1">
    <field x="1"/>
  </rowFields>
  <rowItems count="6">
    <i>
      <x v="30"/>
    </i>
    <i>
      <x v="43"/>
    </i>
    <i>
      <x v="7"/>
    </i>
    <i>
      <x v="17"/>
    </i>
    <i>
      <x v="8"/>
    </i>
    <i t="grand">
      <x/>
    </i>
  </rowItems>
  <colItems count="1">
    <i/>
  </colItems>
  <dataFields count="1">
    <dataField name="Sum of total_revenue" fld="6" baseField="0" baseItem="0"/>
  </dataFields>
  <chartFormats count="4">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2CDA79-DBC3-4C11-A27F-E6E0E8204A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4">
    <pivotField showAll="0"/>
    <pivotField showAll="0"/>
    <pivotField showAll="0">
      <items count="5">
        <item x="0"/>
        <item x="2"/>
        <item x="1"/>
        <item x="3"/>
        <item t="default"/>
      </items>
    </pivotField>
    <pivotField showAll="0"/>
    <pivotField dataField="1" showAll="0"/>
    <pivotField dataField="1" showAll="0"/>
    <pivotField dataField="1" showAll="0"/>
    <pivotField showAll="0"/>
    <pivotField dataField="1" showAll="0"/>
    <pivotField dataField="1"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total_revenue" fld="6" baseField="0" baseItem="0" numFmtId="164"/>
    <dataField name="Sum of total_gross_profit" fld="8" baseField="0" baseItem="0" numFmtId="164"/>
    <dataField name="Sum of total_units_sold" fld="5" baseField="0" baseItem="0" numFmtId="166"/>
    <dataField name="Average of avg_gross_margin_pct" fld="9" subtotal="average" baseField="0" baseItem="1" numFmtId="165"/>
    <dataField name="Sum of transaction_count" fld="4" baseField="0" baseItem="0"/>
  </dataFields>
  <formats count="4">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E8B01E-B060-4DCB-B16B-54AAE2ED6DA0}" name="top 5 by rev"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2:B68" firstHeaderRow="1" firstDataRow="1" firstDataCol="1"/>
  <pivotFields count="15">
    <pivotField showAll="0"/>
    <pivotField showAll="0"/>
    <pivotField axis="axisRow" showAll="0" measureFilter="1" sortType="ascending">
      <items count="36">
        <item x="3"/>
        <item x="8"/>
        <item x="15"/>
        <item x="31"/>
        <item x="33"/>
        <item x="1"/>
        <item x="9"/>
        <item x="5"/>
        <item x="12"/>
        <item x="11"/>
        <item x="19"/>
        <item x="26"/>
        <item x="14"/>
        <item x="13"/>
        <item x="21"/>
        <item x="22"/>
        <item x="10"/>
        <item x="0"/>
        <item x="2"/>
        <item x="30"/>
        <item x="16"/>
        <item x="29"/>
        <item x="27"/>
        <item x="7"/>
        <item x="17"/>
        <item x="20"/>
        <item x="23"/>
        <item x="32"/>
        <item x="24"/>
        <item x="4"/>
        <item x="6"/>
        <item x="25"/>
        <item x="28"/>
        <item x="18"/>
        <item x="3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6">
    <i>
      <x v="29"/>
    </i>
    <i>
      <x/>
    </i>
    <i>
      <x v="18"/>
    </i>
    <i>
      <x v="5"/>
    </i>
    <i>
      <x v="17"/>
    </i>
    <i t="grand">
      <x/>
    </i>
  </rowItems>
  <colItems count="1">
    <i/>
  </colItems>
  <dataFields count="1">
    <dataField name="Sum of total_revenue" fld="5"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8"/>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2">
          <reference field="4294967294" count="1" selected="0">
            <x v="0"/>
          </reference>
          <reference field="2" count="1" selected="0">
            <x v="29"/>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8A28B1-6C68-427E-98C0-2C5EF6DF5FF1}" name="rev day of week"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8:B96" firstHeaderRow="1" firstDataRow="1" firstDataCol="1"/>
  <pivotFields count="10">
    <pivotField showAll="0"/>
    <pivotField showAll="0">
      <items count="8">
        <item x="0"/>
        <item x="1"/>
        <item x="2"/>
        <item x="3"/>
        <item x="4"/>
        <item x="5"/>
        <item x="6"/>
        <item t="default"/>
      </items>
    </pivotField>
    <pivotField axis="axisRow" showAll="0">
      <items count="8">
        <item x="0"/>
        <item x="1"/>
        <item x="2"/>
        <item x="3"/>
        <item x="4"/>
        <item x="5"/>
        <item x="6"/>
        <item t="default"/>
      </items>
    </pivotField>
    <pivotField showAll="0"/>
    <pivotField showAll="0"/>
    <pivotField dataField="1"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total_revenue" fld="5" baseField="1"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EB8F93-50D3-46B6-97AE-BF688D1E7A43}" name="rev by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5" firstHeaderRow="1" firstDataRow="1" firstDataCol="1"/>
  <pivotFields count="14">
    <pivotField showAll="0"/>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s>
  <rowFields count="1">
    <field x="2"/>
  </rowFields>
  <rowItems count="5">
    <i>
      <x/>
    </i>
    <i>
      <x v="3"/>
    </i>
    <i>
      <x v="1"/>
    </i>
    <i>
      <x v="2"/>
    </i>
    <i t="grand">
      <x/>
    </i>
  </rowItems>
  <colItems count="1">
    <i/>
  </colItems>
  <dataFields count="1">
    <dataField name="Sum of total_revenue" fld="6" baseField="0" baseItem="0"/>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3"/>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 count="1" selected="0">
            <x v="0"/>
          </reference>
        </references>
      </pivotArea>
    </chartFormat>
    <chartFormat chart="10" format="8">
      <pivotArea type="data" outline="0" fieldPosition="0">
        <references count="2">
          <reference field="4294967294" count="1" selected="0">
            <x v="0"/>
          </reference>
          <reference field="2" count="1" selected="0">
            <x v="3"/>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7F12DB-D3CD-491B-A8B1-1081E24F44C8}" name="units sold by loca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B57" firstHeaderRow="1" firstDataRow="1" firstDataCol="1"/>
  <pivotFields count="1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2"/>
        <item x="1"/>
        <item x="4"/>
        <item x="0"/>
        <item t="default"/>
      </items>
    </pivotField>
    <pivotField showAll="0"/>
    <pivotField dataField="1" showAll="0"/>
    <pivotField showAll="0"/>
    <pivotField showAll="0">
      <items count="6">
        <item x="3"/>
        <item x="1"/>
        <item x="4"/>
        <item x="2"/>
        <item x="0"/>
        <item t="default"/>
      </items>
    </pivotField>
  </pivotFields>
  <rowFields count="1">
    <field x="2"/>
  </rowFields>
  <rowItems count="5">
    <i>
      <x v="2"/>
    </i>
    <i>
      <x v="1"/>
    </i>
    <i>
      <x v="3"/>
    </i>
    <i>
      <x/>
    </i>
    <i t="grand">
      <x/>
    </i>
  </rowItems>
  <colItems count="1">
    <i/>
  </colItems>
  <dataFields count="1">
    <dataField name="Sum of total_units_sold" fld="7"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7" xr16:uid="{FBA01370-2299-4DAD-9E8D-34648B338779}" autoFormatId="16" applyNumberFormats="0" applyBorderFormats="0" applyFontFormats="0" applyPatternFormats="0" applyAlignmentFormats="0" applyWidthHeightFormats="0">
  <queryTableRefresh nextId="11">
    <queryTableFields count="10">
      <queryTableField id="1" name="sale_year" tableColumnId="1"/>
      <queryTableField id="2" name="day_name" tableColumnId="2"/>
      <queryTableField id="10" dataBound="0" tableColumnId="10"/>
      <queryTableField id="3" name="day_number" tableColumnId="3"/>
      <queryTableField id="4" name="day_type" tableColumnId="4"/>
      <queryTableField id="5" name="total_revenue" tableColumnId="5"/>
      <queryTableField id="6" name="total_gross_profit" tableColumnId="6"/>
      <queryTableField id="7" name="avg_gross_margin_pct" tableColumnId="7"/>
      <queryTableField id="8" name="pct_of_total_revenue" tableColumnId="8"/>
      <queryTableField id="9" name="avg_transaction_valu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9F069F44-5F91-4980-8F0E-49FE77FA3052}" autoFormatId="16" applyNumberFormats="0" applyBorderFormats="0" applyFontFormats="0" applyPatternFormats="0" applyAlignmentFormats="0" applyWidthHeightFormats="0">
  <queryTableRefresh nextId="15">
    <queryTableFields count="14">
      <queryTableField id="1" name="Store_ID" tableColumnId="1"/>
      <queryTableField id="2" name="Store_Name" tableColumnId="2"/>
      <queryTableField id="3" name="Store_Location" tableColumnId="3"/>
      <queryTableField id="4" name="Store_City" tableColumnId="4"/>
      <queryTableField id="5" name="transaction_count" tableColumnId="5"/>
      <queryTableField id="6" name="total_units_sold" tableColumnId="6"/>
      <queryTableField id="7" name="total_revenue" tableColumnId="7"/>
      <queryTableField id="8" name="total_cogs" tableColumnId="8"/>
      <queryTableField id="9" name="total_gross_profit" tableColumnId="9"/>
      <queryTableField id="10" name="avg_gross_margin_pct" tableColumnId="10"/>
      <queryTableField id="11" name="pct_of_total_revenue" tableColumnId="11"/>
      <queryTableField id="12" name="revenue_rank" tableColumnId="12"/>
      <queryTableField id="13" name="gross_profit_rank" tableColumnId="13"/>
      <queryTableField id="14" name="margin_rank"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B4109C38-2180-452D-8149-8891B04CE239}" autoFormatId="16" applyNumberFormats="0" applyBorderFormats="0" applyFontFormats="0" applyPatternFormats="0" applyAlignmentFormats="0" applyWidthHeightFormats="0">
  <queryTableRefresh nextId="12">
    <queryTableFields count="11">
      <queryTableField id="1" name="product_id" tableColumnId="1"/>
      <queryTableField id="2" name="product_name" tableColumnId="2"/>
      <queryTableField id="3" name="product_category" tableColumnId="3"/>
      <queryTableField id="4" name="total_units_sold" tableColumnId="4"/>
      <queryTableField id="5" name="total_sales_day" tableColumnId="5"/>
      <queryTableField id="6" name="units_per_day_of_sale" tableColumnId="6"/>
      <queryTableField id="7" name="avg_daily_unit_full_period" tableColumnId="7"/>
      <queryTableField id="8" name="pct_of_total_revenue" tableColumnId="8"/>
      <queryTableField id="9" name="units_rank" tableColumnId="9"/>
      <queryTableField id="10" name="velocity_quintile" tableColumnId="10"/>
      <queryTableField id="11" name="velocity_category"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2BF4A842-9F85-48D1-BAF4-22B44B01B13D}" autoFormatId="16" applyNumberFormats="0" applyBorderFormats="0" applyFontFormats="0" applyPatternFormats="0" applyAlignmentFormats="0" applyWidthHeightFormats="0">
  <queryTableRefresh nextId="16">
    <queryTableFields count="15">
      <queryTableField id="1" name="Product_Category" tableColumnId="1"/>
      <queryTableField id="2" name="Product_ID" tableColumnId="2"/>
      <queryTableField id="3" name="Product_Name" tableColumnId="3"/>
      <queryTableField id="4" name="transaction_count" tableColumnId="4"/>
      <queryTableField id="5" name="total_units_sold" tableColumnId="5"/>
      <queryTableField id="6" name="total_revenue" tableColumnId="6"/>
      <queryTableField id="7" name="total_gross_profit" tableColumnId="7"/>
      <queryTableField id="8" name="avg_gross_margin_pct" tableColumnId="8"/>
      <queryTableField id="9" name="pct_of_total_revenue" tableColumnId="9"/>
      <queryTableField id="10" name="units_sold_rank" tableColumnId="10"/>
      <queryTableField id="11" name="revenue_rank" tableColumnId="11"/>
      <queryTableField id="12" name="gross_profit_rank" tableColumnId="12"/>
      <queryTableField id="13" name="margin_rank" tableColumnId="13"/>
      <queryTableField id="14" name="revenue_tile" tableColumnId="14"/>
      <queryTableField id="15" name="performance_group"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EDD69D2C-42A3-4FF4-9A2F-4E8007E9E3D7}" autoFormatId="16" applyNumberFormats="0" applyBorderFormats="0" applyFontFormats="0" applyPatternFormats="0" applyAlignmentFormats="0" applyWidthHeightFormats="0">
  <queryTableRefresh nextId="15">
    <queryTableFields count="14">
      <queryTableField id="1" name="sale_year" tableColumnId="1"/>
      <queryTableField id="2" name="sale_month" tableColumnId="2"/>
      <queryTableField id="3" name="month_name" tableColumnId="3"/>
      <queryTableField id="14" dataBound="0" tableColumnId="14"/>
      <queryTableField id="4" name="sale_quarter" tableColumnId="4"/>
      <queryTableField id="5" name="product_category" tableColumnId="5"/>
      <queryTableField id="6" name="store_location" tableColumnId="6"/>
      <queryTableField id="7" name="transaction_count" tableColumnId="7"/>
      <queryTableField id="8" name="total_units_sold" tableColumnId="8"/>
      <queryTableField id="9" name="total_revenue" tableColumnId="9"/>
      <queryTableField id="10" name="total_cogs" tableColumnId="10"/>
      <queryTableField id="11" name="total_gross_profit" tableColumnId="11"/>
      <queryTableField id="12" name="avg_gross_margin_pct" tableColumnId="12"/>
      <queryTableField id="13" name="revenue_growth_MoM"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 xr16:uid="{54B40B52-AAA2-4787-9588-9FA3FBFE1372}"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store_location" tableColumnId="3"/>
      <queryTableField id="4" name="product_id" tableColumnId="4"/>
      <queryTableField id="5" name="product_name" tableColumnId="5"/>
      <queryTableField id="6" name="product_category" tableColumnId="6"/>
      <queryTableField id="7" name="stock_on_hand" tableColumnId="7"/>
      <queryTableField id="8" name="total_units_sold" tableColumnId="8"/>
      <queryTableField id="9" name="estimated_days_of_stock_left" tableColumnId="9"/>
      <queryTableField id="10" name="stock_status"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B92471E4-CA37-4DCC-9CA0-64B1E58ABD0B}" autoFormatId="16" applyNumberFormats="0" applyBorderFormats="0" applyFontFormats="0" applyPatternFormats="0" applyAlignmentFormats="0" applyWidthHeightFormats="0">
  <queryTableRefresh nextId="12">
    <queryTableFields count="11">
      <queryTableField id="1" name="sale_year" tableColumnId="1"/>
      <queryTableField id="2" name="sale_quarter" tableColumnId="2"/>
      <queryTableField id="3" name="Product_Category" tableColumnId="3"/>
      <queryTableField id="4" name="transaction_count" tableColumnId="4"/>
      <queryTableField id="5" name="total_units_sold" tableColumnId="5"/>
      <queryTableField id="6" name="total_revenue" tableColumnId="6"/>
      <queryTableField id="7" name="total_cogs" tableColumnId="7"/>
      <queryTableField id="8" name="total_gross_profit" tableColumnId="8"/>
      <queryTableField id="9" name="avg_gross_margin_pct" tableColumnId="9"/>
      <queryTableField id="10" name="pct_of_year_revenue" tableColumnId="10"/>
      <queryTableField id="11" name="pct_of_gross_profi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year" xr10:uid="{8417F0A0-E706-40BF-B513-B6B852A9173B}" sourceName="sale_year">
  <pivotTables>
    <pivotTable tabId="3" name="rev monthly"/>
  </pivotTables>
  <data>
    <tabular pivotCacheId="2781691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457EF07C-50E8-4B64-987C-EFC6D8FB2036}" sourceName="Store_Location">
  <pivotTables>
    <pivotTable tabId="3" name="top 5 store by rev"/>
    <pivotTable tabId="3" name="PivotTable1"/>
    <pivotTable tabId="3" name="rev by location"/>
  </pivotTables>
  <data>
    <tabular pivotCacheId="457882310">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C113B2E-6B47-43F1-AFFC-9819D3E511CA}" sourceName="Product_Category">
  <pivotTables>
    <pivotTable tabId="3" name="rev by category"/>
    <pivotTable tabId="3" name="profit by category"/>
  </pivotTables>
  <data>
    <tabular pivotCacheId="2123384337">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_year" xr10:uid="{817D2185-0F95-4FEF-B79E-57FB10DA0724}" cache="Slicer_sale_year" caption="sale_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_year 1" xr10:uid="{F1E3E344-3A61-43A5-A281-33160E7D0780}" cache="Slicer_sale_year" caption="Sale Year" style="Slicer Style 1" rowHeight="257175"/>
  <slicer name="Store Location" xr10:uid="{2373030C-714E-42D2-A3F4-A64B307007FA}" cache="Slicer_Store_Location" caption="Store Location" style="Slicer Style 1" rowHeight="257175"/>
  <slicer name="Product Category" xr10:uid="{520208F5-8F03-4C20-A03F-65D8750CD8C6}" cache="Slicer_Product_Category" caption="Product Category"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3A967D-9AAC-4C52-9F78-01380FA3E0DE}" name="tbl_weekday" displayName="tbl_weekday" ref="A1:J15" tableType="queryTable" totalsRowShown="0">
  <autoFilter ref="A1:J15" xr:uid="{103A967D-9AAC-4C52-9F78-01380FA3E0DE}"/>
  <tableColumns count="10">
    <tableColumn id="1" xr3:uid="{67D4816E-633B-4C3F-B977-10953BF82DBB}" uniqueName="1" name="sale_year" queryTableFieldId="1"/>
    <tableColumn id="2" xr3:uid="{1575EDE7-5A7B-4077-BE10-92ADD9759B37}" uniqueName="2" name="day_name" queryTableFieldId="2" dataDxfId="26"/>
    <tableColumn id="10" xr3:uid="{AE906E81-8DB7-41A0-A523-FE4EEB161376}" uniqueName="10" name="refined_name" queryTableFieldId="10" dataDxfId="25">
      <calculatedColumnFormula>LEFT(tbl_weekday[[#This Row],[day_name]],3)</calculatedColumnFormula>
    </tableColumn>
    <tableColumn id="3" xr3:uid="{390C43F7-8AFD-4CCE-A5FE-0912EFEDAA36}" uniqueName="3" name="day_number" queryTableFieldId="3"/>
    <tableColumn id="4" xr3:uid="{26BB9A52-5369-49C4-B5DF-7827F5CFB315}" uniqueName="4" name="day_type" queryTableFieldId="4" dataDxfId="24"/>
    <tableColumn id="5" xr3:uid="{D0D0DFAC-D782-415A-AE8C-0F7A3C58EAE0}" uniqueName="5" name="total_revenue" queryTableFieldId="5"/>
    <tableColumn id="6" xr3:uid="{B0728CD1-F5DA-45C2-BD21-A7C3EBD0D338}" uniqueName="6" name="total_gross_profit" queryTableFieldId="6"/>
    <tableColumn id="7" xr3:uid="{896F5C59-A7A3-4207-BF0F-037CEEAE7BE4}" uniqueName="7" name="avg_gross_margin_pct" queryTableFieldId="7"/>
    <tableColumn id="8" xr3:uid="{BD8DAC5E-F237-4083-9040-01E816E27555}" uniqueName="8" name="pct_of_total_revenue" queryTableFieldId="8"/>
    <tableColumn id="9" xr3:uid="{EFC481AA-B711-4789-A9EE-FA453325DE81}" uniqueName="9" name="avg_transaction_value"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B3E2E8-B393-4F52-81B6-44C94DE5C792}" name="tbl_store" displayName="tbl_store" ref="A1:N51" tableType="queryTable" totalsRowShown="0">
  <autoFilter ref="A1:N51" xr:uid="{3EB3E2E8-B393-4F52-81B6-44C94DE5C792}"/>
  <tableColumns count="14">
    <tableColumn id="1" xr3:uid="{FC1CF57B-33DF-4334-9F0F-1E26043681AE}" uniqueName="1" name="Store_ID" queryTableFieldId="1"/>
    <tableColumn id="2" xr3:uid="{67BF2BA7-E9B0-4E01-B569-C6D6DB63E6BD}" uniqueName="2" name="Store_Name" queryTableFieldId="2" dataDxfId="23"/>
    <tableColumn id="3" xr3:uid="{92C2FC9B-9DAB-4D4E-8856-E0420F55D4D3}" uniqueName="3" name="Store_Location" queryTableFieldId="3" dataDxfId="22"/>
    <tableColumn id="4" xr3:uid="{7F2D9D6C-1B83-4DF8-B715-69DB481B9CFC}" uniqueName="4" name="Store_City" queryTableFieldId="4" dataDxfId="21"/>
    <tableColumn id="5" xr3:uid="{D135D795-CA0A-4ADE-9093-ED09E473FCE3}" uniqueName="5" name="transaction_count" queryTableFieldId="5"/>
    <tableColumn id="6" xr3:uid="{5C68CF48-C714-4C4E-94E3-4AD6E9644336}" uniqueName="6" name="total_units_sold" queryTableFieldId="6"/>
    <tableColumn id="7" xr3:uid="{55CC56DF-2510-4731-A813-25F794BF8828}" uniqueName="7" name="total_revenue" queryTableFieldId="7"/>
    <tableColumn id="8" xr3:uid="{78B5A3F4-B5B0-4275-9BDD-C7BA64F24A49}" uniqueName="8" name="total_cogs" queryTableFieldId="8"/>
    <tableColumn id="9" xr3:uid="{EC8400D7-DBC9-4EA6-9902-CAC0D748B62D}" uniqueName="9" name="total_gross_profit" queryTableFieldId="9"/>
    <tableColumn id="10" xr3:uid="{A1796E24-4B1A-4078-8034-89CA290391CE}" uniqueName="10" name="avg_gross_margin_pct" queryTableFieldId="10"/>
    <tableColumn id="11" xr3:uid="{862F7D86-3BC3-44EF-AAD3-150A33BEDBBC}" uniqueName="11" name="pct_of_total_revenue" queryTableFieldId="11"/>
    <tableColumn id="12" xr3:uid="{456AAED1-864A-4A1E-9FF3-5A8AA12743DD}" uniqueName="12" name="revenue_rank" queryTableFieldId="12"/>
    <tableColumn id="13" xr3:uid="{AADAE274-DFC3-482A-A407-02809BE70989}" uniqueName="13" name="gross_profit_rank" queryTableFieldId="13"/>
    <tableColumn id="14" xr3:uid="{B1C4C78B-FEDC-4910-8A2D-B01080957A5B}" uniqueName="14" name="margin_rank"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11E7A4-081F-4EE4-A3C4-1A41BBF6EFEA}" name="tbl_velocity" displayName="tbl_velocity" ref="A1:K36" tableType="queryTable" totalsRowShown="0">
  <autoFilter ref="A1:K36" xr:uid="{FD11E7A4-081F-4EE4-A3C4-1A41BBF6EFEA}"/>
  <tableColumns count="11">
    <tableColumn id="1" xr3:uid="{F2359653-0BFA-49A9-B9D6-E2F3DBE7BE2B}" uniqueName="1" name="product_id" queryTableFieldId="1"/>
    <tableColumn id="2" xr3:uid="{EC9E5A9F-2018-4EBF-ABA1-F7D9EE311453}" uniqueName="2" name="product_name" queryTableFieldId="2" dataDxfId="20"/>
    <tableColumn id="3" xr3:uid="{E9C5DD5A-1B54-4AF1-81E1-EC1534E21C5C}" uniqueName="3" name="product_category" queryTableFieldId="3" dataDxfId="19"/>
    <tableColumn id="4" xr3:uid="{7E0CB7B4-01CB-43BA-926E-695B7F326B65}" uniqueName="4" name="total_units_sold" queryTableFieldId="4"/>
    <tableColumn id="5" xr3:uid="{48423734-0D2E-4EAB-91A1-DBF6A84637FC}" uniqueName="5" name="total_sales_day" queryTableFieldId="5"/>
    <tableColumn id="6" xr3:uid="{9641E541-BC41-473C-8694-817C22F677D8}" uniqueName="6" name="units_per_day_of_sale" queryTableFieldId="6"/>
    <tableColumn id="7" xr3:uid="{36F1A893-9237-48FE-80D2-975FE208A12F}" uniqueName="7" name="avg_daily_unit_full_period" queryTableFieldId="7"/>
    <tableColumn id="8" xr3:uid="{5EBF25C9-B7A4-4B98-9DD6-B2F1299E1A0C}" uniqueName="8" name="pct_of_total_revenue" queryTableFieldId="8"/>
    <tableColumn id="9" xr3:uid="{20E40FC5-60A7-41A8-8906-2179475D32E5}" uniqueName="9" name="units_rank" queryTableFieldId="9"/>
    <tableColumn id="10" xr3:uid="{67BC71EB-428F-403F-901D-FC043EF709EB}" uniqueName="10" name="velocity_quintile" queryTableFieldId="10"/>
    <tableColumn id="11" xr3:uid="{FE580C63-64B5-4A3E-81A8-0C3EC4DAEC17}" uniqueName="11" name="velocity_category" queryTableFieldId="11"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1DEAEE-8705-4FA9-A9E1-C3AB993A5BAD}" name="tbl_product" displayName="tbl_product" ref="A1:O36" tableType="queryTable" totalsRowShown="0">
  <autoFilter ref="A1:O36" xr:uid="{091DEAEE-8705-4FA9-A9E1-C3AB993A5BAD}"/>
  <tableColumns count="15">
    <tableColumn id="1" xr3:uid="{D429D0D2-39BF-4570-8B94-8BCD37D6CB5B}" uniqueName="1" name="Product_Category" queryTableFieldId="1" dataDxfId="17"/>
    <tableColumn id="2" xr3:uid="{79B38AA5-7175-4462-89ED-94E103796FBB}" uniqueName="2" name="Product_ID" queryTableFieldId="2"/>
    <tableColumn id="3" xr3:uid="{48365ECF-6209-4FB3-9465-26AA994D8BEA}" uniqueName="3" name="Product_Name" queryTableFieldId="3" dataDxfId="16"/>
    <tableColumn id="4" xr3:uid="{341F7BE6-C28F-4287-8D6B-B0A37B212365}" uniqueName="4" name="transaction_count" queryTableFieldId="4"/>
    <tableColumn id="5" xr3:uid="{AD70B575-0D2E-4734-BF1E-1EB5DC5BE50F}" uniqueName="5" name="total_units_sold" queryTableFieldId="5"/>
    <tableColumn id="6" xr3:uid="{DE9D1FBB-0C61-4063-BBA8-B70A0A00533E}" uniqueName="6" name="total_revenue" queryTableFieldId="6"/>
    <tableColumn id="7" xr3:uid="{34C59C7B-FEA0-428E-988F-D85E2C42E7C5}" uniqueName="7" name="total_gross_profit" queryTableFieldId="7"/>
    <tableColumn id="8" xr3:uid="{47FDC82E-8A34-4614-9A8B-3564CE77A33F}" uniqueName="8" name="avg_gross_margin_pct" queryTableFieldId="8"/>
    <tableColumn id="9" xr3:uid="{D87AED9C-F8FE-4F83-99FD-6F7DACDFEA19}" uniqueName="9" name="pct_of_total_revenue" queryTableFieldId="9"/>
    <tableColumn id="10" xr3:uid="{B79AF7B1-6525-4328-A7BB-5E90973DFB54}" uniqueName="10" name="units_sold_rank" queryTableFieldId="10"/>
    <tableColumn id="11" xr3:uid="{AE8C1CAA-396C-45A4-908C-5F12751275F5}" uniqueName="11" name="revenue_rank" queryTableFieldId="11"/>
    <tableColumn id="12" xr3:uid="{04EF5DDC-F48C-41EF-932D-B0A33E9DCD91}" uniqueName="12" name="gross_profit_rank" queryTableFieldId="12"/>
    <tableColumn id="13" xr3:uid="{922EB877-A6EE-4FB5-8F85-8BB9F168095B}" uniqueName="13" name="margin_rank" queryTableFieldId="13"/>
    <tableColumn id="14" xr3:uid="{1512FDEB-0302-4FC7-8194-95B1B5C85140}" uniqueName="14" name="revenue_tile" queryTableFieldId="14"/>
    <tableColumn id="15" xr3:uid="{39C52A9A-FEB0-45B6-A393-4E7516C3445F}" uniqueName="15" name="performance_group" queryTableFieldId="15"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95601E-1CFC-4A0D-B631-570E79DE496D}" name="tbl_monthly" displayName="tbl_monthly" ref="A1:N421" tableType="queryTable" totalsRowShown="0">
  <autoFilter ref="A1:N421" xr:uid="{0295601E-1CFC-4A0D-B631-570E79DE496D}"/>
  <tableColumns count="14">
    <tableColumn id="1" xr3:uid="{DC01954D-C4B4-438B-A17B-F32540D4EA9B}" uniqueName="1" name="sale_year" queryTableFieldId="1"/>
    <tableColumn id="2" xr3:uid="{AD4F8299-FD0C-4775-B39A-EAD1C07C6A1F}" uniqueName="2" name="sale_month" queryTableFieldId="2"/>
    <tableColumn id="3" xr3:uid="{E4A66913-7F8C-4D62-A89C-BD9A9BE3D293}" uniqueName="3" name="month_name" queryTableFieldId="3" dataDxfId="14"/>
    <tableColumn id="14" xr3:uid="{98ECB7AB-00B1-4507-BAA2-B2640217B25E}" uniqueName="14" name="refined_month" queryTableFieldId="14" dataDxfId="13">
      <calculatedColumnFormula>LEFT(C2,3)</calculatedColumnFormula>
    </tableColumn>
    <tableColumn id="4" xr3:uid="{BE94E47D-496C-4168-91FE-D1A3FD13764D}" uniqueName="4" name="sale_quarter" queryTableFieldId="4"/>
    <tableColumn id="5" xr3:uid="{4A9D9710-3C0F-42E0-8287-D6640C931616}" uniqueName="5" name="product_category" queryTableFieldId="5" dataDxfId="12"/>
    <tableColumn id="6" xr3:uid="{DECBB752-280A-4FA1-86D5-50104FD211A7}" uniqueName="6" name="store_location" queryTableFieldId="6" dataDxfId="11"/>
    <tableColumn id="7" xr3:uid="{B3C1A6B5-A290-4854-8B1B-934959905C55}" uniqueName="7" name="transaction_count" queryTableFieldId="7"/>
    <tableColumn id="8" xr3:uid="{FC73B2FF-750A-4C0E-973F-5DE2AF2E87D9}" uniqueName="8" name="total_units_sold" queryTableFieldId="8"/>
    <tableColumn id="9" xr3:uid="{795CFB51-DD86-4633-83E8-B08D2BC1601C}" uniqueName="9" name="total_revenue" queryTableFieldId="9"/>
    <tableColumn id="10" xr3:uid="{96EE88D3-5324-4138-B366-04B1AA011A16}" uniqueName="10" name="total_cogs" queryTableFieldId="10"/>
    <tableColumn id="11" xr3:uid="{A3A0A3B6-F5D7-4EAF-90D6-C089606E1902}" uniqueName="11" name="total_gross_profit" queryTableFieldId="11"/>
    <tableColumn id="12" xr3:uid="{4D680D1E-B756-4A15-9195-BCF2C3BC2C92}" uniqueName="12" name="avg_gross_margin_pct" queryTableFieldId="12"/>
    <tableColumn id="13" xr3:uid="{9F1ED4AF-8A49-416A-9E4A-9FBCA22EF4D0}" uniqueName="13" name="revenue_growth_MoM" queryTableFieldId="13" dataDxf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3494E6-2884-483C-9A34-583D601086DD}" name="tbl_inventory" displayName="tbl_inventory" ref="A1:J1594" tableType="queryTable" totalsRowShown="0">
  <autoFilter ref="A1:J1594" xr:uid="{5C3494E6-2884-483C-9A34-583D601086DD}"/>
  <tableColumns count="10">
    <tableColumn id="1" xr3:uid="{F0DB2140-9D36-470C-A453-4C6A6D2EEF25}" uniqueName="1" name="store_id" queryTableFieldId="1"/>
    <tableColumn id="2" xr3:uid="{9791B0AA-25D6-4884-9EEA-302ABFC627AF}" uniqueName="2" name="store_name" queryTableFieldId="2" dataDxfId="9"/>
    <tableColumn id="3" xr3:uid="{AF424C87-6BC7-41C3-9885-69902637CCE1}" uniqueName="3" name="store_location" queryTableFieldId="3" dataDxfId="8"/>
    <tableColumn id="4" xr3:uid="{AC5638DC-C8DF-41D8-A9E4-8E570F618444}" uniqueName="4" name="product_id" queryTableFieldId="4"/>
    <tableColumn id="5" xr3:uid="{858F91B4-CD69-4A36-87E1-CB0A86D5C1F6}" uniqueName="5" name="product_name" queryTableFieldId="5" dataDxfId="7"/>
    <tableColumn id="6" xr3:uid="{719F1B36-AE61-4C55-8340-E843268CD5A6}" uniqueName="6" name="product_category" queryTableFieldId="6" dataDxfId="6"/>
    <tableColumn id="7" xr3:uid="{2C463E59-FDCC-4CFD-8A7B-EBC2FC39A652}" uniqueName="7" name="stock_on_hand" queryTableFieldId="7"/>
    <tableColumn id="8" xr3:uid="{BE34E8AA-4174-4A5E-A717-A27704D489F7}" uniqueName="8" name="total_units_sold" queryTableFieldId="8"/>
    <tableColumn id="9" xr3:uid="{0EFE0AEA-1FAC-4ECE-A1F8-D1D81E65976C}" uniqueName="9" name="estimated_days_of_stock_left" queryTableFieldId="9"/>
    <tableColumn id="10" xr3:uid="{CBE192BA-1DDE-471B-9016-45936E2F56FA}" uniqueName="10" name="stock_status" queryTableFieldId="10" dataDxf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BF1E46-4D16-44AC-B105-92C7CC819C6D}" name="tbl_category" displayName="tbl_category" ref="A1:K36" tableType="queryTable" totalsRowShown="0">
  <autoFilter ref="A1:K36" xr:uid="{C7BF1E46-4D16-44AC-B105-92C7CC819C6D}"/>
  <tableColumns count="11">
    <tableColumn id="1" xr3:uid="{7035AC01-5F8D-4F51-95B9-E87967153B65}" uniqueName="1" name="sale_year" queryTableFieldId="1"/>
    <tableColumn id="2" xr3:uid="{B979C92B-9472-4E2D-88A1-906E2EB5EF27}" uniqueName="2" name="sale_quarter" queryTableFieldId="2"/>
    <tableColumn id="3" xr3:uid="{6D50E2A9-BCEB-49C3-BBEB-FA7DF9308858}" uniqueName="3" name="Product_Category" queryTableFieldId="3" dataDxfId="4"/>
    <tableColumn id="4" xr3:uid="{7DE98AAA-DD89-4EFE-87E3-D9445E9C7141}" uniqueName="4" name="transaction_count" queryTableFieldId="4"/>
    <tableColumn id="5" xr3:uid="{31D6FCE8-3CB8-4D05-8430-0E5BDE6F9A57}" uniqueName="5" name="total_units_sold" queryTableFieldId="5"/>
    <tableColumn id="6" xr3:uid="{E8F22C88-8180-4D4F-A316-0D5865F1CDE6}" uniqueName="6" name="total_revenue" queryTableFieldId="6"/>
    <tableColumn id="7" xr3:uid="{9104BB25-6A8F-4706-9272-99AC8C1E6E32}" uniqueName="7" name="total_cogs" queryTableFieldId="7"/>
    <tableColumn id="8" xr3:uid="{AAAC6D69-C75D-44E7-B77B-7242A9A47D81}" uniqueName="8" name="total_gross_profit" queryTableFieldId="8"/>
    <tableColumn id="9" xr3:uid="{C81F1E17-3C76-4D37-8B76-1ACF5BA8A8C5}" uniqueName="9" name="avg_gross_margin_pct" queryTableFieldId="9"/>
    <tableColumn id="10" xr3:uid="{6A43C613-413A-49A5-B36F-5C6523D5AB98}" uniqueName="10" name="pct_of_year_revenue" queryTableFieldId="10"/>
    <tableColumn id="11" xr3:uid="{67645CC1-C15F-40F6-A0EA-CF0C99475F9B}" uniqueName="11" name="pct_of_gross_profi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908E-BBA2-44E8-AD0E-23DB2A11158C}">
  <dimension ref="A1:J15"/>
  <sheetViews>
    <sheetView workbookViewId="0">
      <selection activeCell="C3" sqref="C3"/>
    </sheetView>
  </sheetViews>
  <sheetFormatPr defaultRowHeight="15" x14ac:dyDescent="0.25"/>
  <cols>
    <col min="1" max="1" width="11.7109375" bestFit="1" customWidth="1"/>
    <col min="2" max="2" width="12.28515625" bestFit="1" customWidth="1"/>
    <col min="3" max="3" width="12.28515625" customWidth="1"/>
    <col min="4" max="4" width="14.28515625" bestFit="1" customWidth="1"/>
    <col min="5" max="5" width="11.28515625" bestFit="1" customWidth="1"/>
    <col min="6" max="6" width="15.85546875" bestFit="1" customWidth="1"/>
    <col min="7" max="7" width="19.140625" bestFit="1" customWidth="1"/>
    <col min="8" max="8" width="23" bestFit="1" customWidth="1"/>
    <col min="9" max="9" width="22.42578125" bestFit="1" customWidth="1"/>
    <col min="10" max="10" width="23.28515625" bestFit="1" customWidth="1"/>
  </cols>
  <sheetData>
    <row r="1" spans="1:10" x14ac:dyDescent="0.25">
      <c r="A1" t="s">
        <v>0</v>
      </c>
      <c r="B1" t="s">
        <v>605</v>
      </c>
      <c r="C1" t="s">
        <v>646</v>
      </c>
      <c r="D1" t="s">
        <v>606</v>
      </c>
      <c r="E1" t="s">
        <v>607</v>
      </c>
      <c r="F1" t="s">
        <v>8</v>
      </c>
      <c r="G1" t="s">
        <v>10</v>
      </c>
      <c r="H1" t="s">
        <v>11</v>
      </c>
      <c r="I1" t="s">
        <v>553</v>
      </c>
      <c r="J1" t="s">
        <v>608</v>
      </c>
    </row>
    <row r="2" spans="1:10" x14ac:dyDescent="0.25">
      <c r="A2">
        <v>2022</v>
      </c>
      <c r="B2" t="s">
        <v>609</v>
      </c>
      <c r="C2" t="str">
        <f>LEFT(tbl_weekday[[#This Row],[day_name]],3)</f>
        <v>Sun</v>
      </c>
      <c r="D2">
        <v>1</v>
      </c>
      <c r="E2" t="s">
        <v>610</v>
      </c>
      <c r="F2">
        <v>910597.51</v>
      </c>
      <c r="G2">
        <v>282044</v>
      </c>
      <c r="H2">
        <v>33.159999999999997</v>
      </c>
      <c r="I2">
        <v>12.17</v>
      </c>
      <c r="J2">
        <v>17.55</v>
      </c>
    </row>
    <row r="3" spans="1:10" x14ac:dyDescent="0.25">
      <c r="A3">
        <v>2022</v>
      </c>
      <c r="B3" t="s">
        <v>611</v>
      </c>
      <c r="C3" t="str">
        <f>LEFT(tbl_weekday[[#This Row],[day_name]],3)</f>
        <v>Mon</v>
      </c>
      <c r="D3">
        <v>2</v>
      </c>
      <c r="E3" t="s">
        <v>612</v>
      </c>
      <c r="F3">
        <v>783415.18</v>
      </c>
      <c r="G3">
        <v>238749</v>
      </c>
      <c r="H3">
        <v>32.67</v>
      </c>
      <c r="I3">
        <v>10.47</v>
      </c>
      <c r="J3">
        <v>17.350000000000001</v>
      </c>
    </row>
    <row r="4" spans="1:10" x14ac:dyDescent="0.25">
      <c r="A4">
        <v>2022</v>
      </c>
      <c r="B4" t="s">
        <v>613</v>
      </c>
      <c r="C4" t="str">
        <f>LEFT(tbl_weekday[[#This Row],[day_name]],3)</f>
        <v>Tue</v>
      </c>
      <c r="D4">
        <v>3</v>
      </c>
      <c r="E4" t="s">
        <v>612</v>
      </c>
      <c r="F4">
        <v>882038.8</v>
      </c>
      <c r="G4">
        <v>262243</v>
      </c>
      <c r="H4">
        <v>32.549999999999997</v>
      </c>
      <c r="I4">
        <v>11.79</v>
      </c>
      <c r="J4">
        <v>17.96</v>
      </c>
    </row>
    <row r="5" spans="1:10" x14ac:dyDescent="0.25">
      <c r="A5">
        <v>2022</v>
      </c>
      <c r="B5" t="s">
        <v>614</v>
      </c>
      <c r="C5" t="str">
        <f>LEFT(tbl_weekday[[#This Row],[day_name]],3)</f>
        <v>Wed</v>
      </c>
      <c r="D5">
        <v>4</v>
      </c>
      <c r="E5" t="s">
        <v>612</v>
      </c>
      <c r="F5">
        <v>921102.23</v>
      </c>
      <c r="G5">
        <v>271908</v>
      </c>
      <c r="H5">
        <v>32.130000000000003</v>
      </c>
      <c r="I5">
        <v>12.31</v>
      </c>
      <c r="J5">
        <v>17.739999999999998</v>
      </c>
    </row>
    <row r="6" spans="1:10" x14ac:dyDescent="0.25">
      <c r="A6">
        <v>2022</v>
      </c>
      <c r="B6" t="s">
        <v>615</v>
      </c>
      <c r="C6" t="str">
        <f>LEFT(tbl_weekday[[#This Row],[day_name]],3)</f>
        <v>Thu</v>
      </c>
      <c r="D6">
        <v>5</v>
      </c>
      <c r="E6" t="s">
        <v>612</v>
      </c>
      <c r="F6">
        <v>1122262.58</v>
      </c>
      <c r="G6">
        <v>328819</v>
      </c>
      <c r="H6">
        <v>31.92</v>
      </c>
      <c r="I6">
        <v>15</v>
      </c>
      <c r="J6">
        <v>17.739999999999998</v>
      </c>
    </row>
    <row r="7" spans="1:10" x14ac:dyDescent="0.25">
      <c r="A7">
        <v>2022</v>
      </c>
      <c r="B7" t="s">
        <v>616</v>
      </c>
      <c r="C7" t="str">
        <f>LEFT(tbl_weekday[[#This Row],[day_name]],3)</f>
        <v>Fri</v>
      </c>
      <c r="D7">
        <v>6</v>
      </c>
      <c r="E7" t="s">
        <v>612</v>
      </c>
      <c r="F7">
        <v>1397686.31</v>
      </c>
      <c r="G7">
        <v>393038</v>
      </c>
      <c r="H7">
        <v>31.29</v>
      </c>
      <c r="I7">
        <v>18.68</v>
      </c>
      <c r="J7">
        <v>18.05</v>
      </c>
    </row>
    <row r="8" spans="1:10" x14ac:dyDescent="0.25">
      <c r="A8">
        <v>2022</v>
      </c>
      <c r="B8" t="s">
        <v>617</v>
      </c>
      <c r="C8" t="str">
        <f>LEFT(tbl_weekday[[#This Row],[day_name]],3)</f>
        <v>Sat</v>
      </c>
      <c r="D8">
        <v>7</v>
      </c>
      <c r="E8" t="s">
        <v>610</v>
      </c>
      <c r="F8">
        <v>1465395.47</v>
      </c>
      <c r="G8">
        <v>412986</v>
      </c>
      <c r="H8">
        <v>31.44</v>
      </c>
      <c r="I8">
        <v>19.579999999999998</v>
      </c>
      <c r="J8">
        <v>17.86</v>
      </c>
    </row>
    <row r="9" spans="1:10" x14ac:dyDescent="0.25">
      <c r="A9">
        <v>2023</v>
      </c>
      <c r="B9" t="s">
        <v>609</v>
      </c>
      <c r="C9" t="str">
        <f>LEFT(tbl_weekday[[#This Row],[day_name]],3)</f>
        <v>Sun</v>
      </c>
      <c r="D9">
        <v>1</v>
      </c>
      <c r="E9" t="s">
        <v>610</v>
      </c>
      <c r="F9">
        <v>839146.49</v>
      </c>
      <c r="G9">
        <v>223054</v>
      </c>
      <c r="H9">
        <v>30.53</v>
      </c>
      <c r="I9">
        <v>12.05</v>
      </c>
      <c r="J9">
        <v>16.96</v>
      </c>
    </row>
    <row r="10" spans="1:10" x14ac:dyDescent="0.25">
      <c r="A10">
        <v>2023</v>
      </c>
      <c r="B10" t="s">
        <v>611</v>
      </c>
      <c r="C10" t="str">
        <f>LEFT(tbl_weekday[[#This Row],[day_name]],3)</f>
        <v>Mon</v>
      </c>
      <c r="D10">
        <v>2</v>
      </c>
      <c r="E10" t="s">
        <v>612</v>
      </c>
      <c r="F10">
        <v>747714.83</v>
      </c>
      <c r="G10">
        <v>201164</v>
      </c>
      <c r="H10">
        <v>30.8</v>
      </c>
      <c r="I10">
        <v>10.74</v>
      </c>
      <c r="J10">
        <v>16.55</v>
      </c>
    </row>
    <row r="11" spans="1:10" x14ac:dyDescent="0.25">
      <c r="A11">
        <v>2023</v>
      </c>
      <c r="B11" t="s">
        <v>613</v>
      </c>
      <c r="C11" t="str">
        <f>LEFT(tbl_weekday[[#This Row],[day_name]],3)</f>
        <v>Tue</v>
      </c>
      <c r="D11">
        <v>3</v>
      </c>
      <c r="E11" t="s">
        <v>612</v>
      </c>
      <c r="F11">
        <v>755453.39</v>
      </c>
      <c r="G11">
        <v>198614</v>
      </c>
      <c r="H11">
        <v>30.38</v>
      </c>
      <c r="I11">
        <v>10.85</v>
      </c>
      <c r="J11">
        <v>16.489999999999998</v>
      </c>
    </row>
    <row r="12" spans="1:10" x14ac:dyDescent="0.25">
      <c r="A12">
        <v>2023</v>
      </c>
      <c r="B12" t="s">
        <v>614</v>
      </c>
      <c r="C12" t="str">
        <f>LEFT(tbl_weekday[[#This Row],[day_name]],3)</f>
        <v>Wed</v>
      </c>
      <c r="D12">
        <v>4</v>
      </c>
      <c r="E12" t="s">
        <v>612</v>
      </c>
      <c r="F12">
        <v>810966.36</v>
      </c>
      <c r="G12">
        <v>214358</v>
      </c>
      <c r="H12">
        <v>30.36</v>
      </c>
      <c r="I12">
        <v>11.65</v>
      </c>
      <c r="J12">
        <v>16.75</v>
      </c>
    </row>
    <row r="13" spans="1:10" x14ac:dyDescent="0.25">
      <c r="A13">
        <v>2023</v>
      </c>
      <c r="B13" t="s">
        <v>615</v>
      </c>
      <c r="C13" t="str">
        <f>LEFT(tbl_weekday[[#This Row],[day_name]],3)</f>
        <v>Thu</v>
      </c>
      <c r="D13">
        <v>5</v>
      </c>
      <c r="E13" t="s">
        <v>612</v>
      </c>
      <c r="F13">
        <v>1061379.21</v>
      </c>
      <c r="G13">
        <v>280723</v>
      </c>
      <c r="H13">
        <v>30.65</v>
      </c>
      <c r="I13">
        <v>15.25</v>
      </c>
      <c r="J13">
        <v>17.18</v>
      </c>
    </row>
    <row r="14" spans="1:10" x14ac:dyDescent="0.25">
      <c r="A14">
        <v>2023</v>
      </c>
      <c r="B14" t="s">
        <v>616</v>
      </c>
      <c r="C14" t="str">
        <f>LEFT(tbl_weekday[[#This Row],[day_name]],3)</f>
        <v>Fri</v>
      </c>
      <c r="D14">
        <v>6</v>
      </c>
      <c r="E14" t="s">
        <v>612</v>
      </c>
      <c r="F14">
        <v>1352615.95</v>
      </c>
      <c r="G14">
        <v>348576</v>
      </c>
      <c r="H14">
        <v>30.11</v>
      </c>
      <c r="I14">
        <v>19.43</v>
      </c>
      <c r="J14">
        <v>17.420000000000002</v>
      </c>
    </row>
    <row r="15" spans="1:10" x14ac:dyDescent="0.25">
      <c r="A15">
        <v>2023</v>
      </c>
      <c r="B15" t="s">
        <v>617</v>
      </c>
      <c r="C15" t="str">
        <f>LEFT(tbl_weekday[[#This Row],[day_name]],3)</f>
        <v>Sat</v>
      </c>
      <c r="D15">
        <v>7</v>
      </c>
      <c r="E15" t="s">
        <v>610</v>
      </c>
      <c r="F15">
        <v>1394798.04</v>
      </c>
      <c r="G15">
        <v>357753</v>
      </c>
      <c r="H15">
        <v>30.08</v>
      </c>
      <c r="I15">
        <v>20.03</v>
      </c>
      <c r="J15">
        <v>17.41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5679-62EE-45DD-B854-85937414969D}">
  <dimension ref="A1:N51"/>
  <sheetViews>
    <sheetView workbookViewId="0">
      <selection activeCell="D7" sqref="D7"/>
    </sheetView>
  </sheetViews>
  <sheetFormatPr defaultRowHeight="15" x14ac:dyDescent="0.25"/>
  <cols>
    <col min="1" max="1" width="11" bestFit="1" customWidth="1"/>
    <col min="2" max="2" width="29" bestFit="1" customWidth="1"/>
    <col min="3" max="3" width="16.85546875" bestFit="1" customWidth="1"/>
    <col min="4" max="4" width="16.5703125" bestFit="1" customWidth="1"/>
    <col min="5" max="5" width="19.7109375" bestFit="1" customWidth="1"/>
    <col min="6" max="6" width="17.7109375" bestFit="1" customWidth="1"/>
    <col min="7" max="7" width="15.85546875" bestFit="1" customWidth="1"/>
    <col min="8" max="8" width="12.42578125" bestFit="1" customWidth="1"/>
    <col min="9" max="9" width="19.140625" bestFit="1" customWidth="1"/>
    <col min="10" max="10" width="23" bestFit="1" customWidth="1"/>
    <col min="11" max="11" width="22.42578125" bestFit="1" customWidth="1"/>
    <col min="12" max="12" width="15.5703125" bestFit="1" customWidth="1"/>
    <col min="13" max="13" width="18.85546875" bestFit="1" customWidth="1"/>
    <col min="14" max="14" width="14.140625" bestFit="1" customWidth="1"/>
  </cols>
  <sheetData>
    <row r="1" spans="1:14" x14ac:dyDescent="0.25">
      <c r="A1" t="s">
        <v>572</v>
      </c>
      <c r="B1" t="s">
        <v>573</v>
      </c>
      <c r="C1" t="s">
        <v>574</v>
      </c>
      <c r="D1" t="s">
        <v>575</v>
      </c>
      <c r="E1" t="s">
        <v>6</v>
      </c>
      <c r="F1" t="s">
        <v>7</v>
      </c>
      <c r="G1" t="s">
        <v>8</v>
      </c>
      <c r="H1" t="s">
        <v>9</v>
      </c>
      <c r="I1" t="s">
        <v>10</v>
      </c>
      <c r="J1" t="s">
        <v>11</v>
      </c>
      <c r="K1" t="s">
        <v>553</v>
      </c>
      <c r="L1" t="s">
        <v>555</v>
      </c>
      <c r="M1" t="s">
        <v>556</v>
      </c>
      <c r="N1" t="s">
        <v>557</v>
      </c>
    </row>
    <row r="2" spans="1:14" x14ac:dyDescent="0.25">
      <c r="A2">
        <v>31</v>
      </c>
      <c r="B2" t="s">
        <v>542</v>
      </c>
      <c r="C2" t="s">
        <v>15</v>
      </c>
      <c r="D2" t="s">
        <v>576</v>
      </c>
      <c r="E2">
        <v>29024</v>
      </c>
      <c r="F2">
        <v>42757</v>
      </c>
      <c r="G2">
        <v>554553.43000000005</v>
      </c>
      <c r="H2">
        <v>384697.43</v>
      </c>
      <c r="I2">
        <v>169856</v>
      </c>
      <c r="J2">
        <v>33.020000000000003</v>
      </c>
      <c r="K2">
        <v>3.84</v>
      </c>
      <c r="L2">
        <v>1</v>
      </c>
      <c r="M2">
        <v>1</v>
      </c>
      <c r="N2">
        <v>5</v>
      </c>
    </row>
    <row r="3" spans="1:14" x14ac:dyDescent="0.25">
      <c r="A3">
        <v>30</v>
      </c>
      <c r="B3" t="s">
        <v>543</v>
      </c>
      <c r="C3" t="s">
        <v>15</v>
      </c>
      <c r="D3" t="s">
        <v>577</v>
      </c>
      <c r="E3">
        <v>23384</v>
      </c>
      <c r="F3">
        <v>31609</v>
      </c>
      <c r="G3">
        <v>449354.91</v>
      </c>
      <c r="H3">
        <v>327783.90999999997</v>
      </c>
      <c r="I3">
        <v>121571</v>
      </c>
      <c r="J3">
        <v>29.95</v>
      </c>
      <c r="K3">
        <v>3.11</v>
      </c>
      <c r="L3">
        <v>2</v>
      </c>
      <c r="M3">
        <v>2</v>
      </c>
      <c r="N3">
        <v>42</v>
      </c>
    </row>
    <row r="4" spans="1:14" x14ac:dyDescent="0.25">
      <c r="A4">
        <v>9</v>
      </c>
      <c r="B4" t="s">
        <v>540</v>
      </c>
      <c r="C4" t="s">
        <v>19</v>
      </c>
      <c r="D4" t="s">
        <v>576</v>
      </c>
      <c r="E4">
        <v>24482</v>
      </c>
      <c r="F4">
        <v>33479</v>
      </c>
      <c r="G4">
        <v>433556.21</v>
      </c>
      <c r="H4">
        <v>322260.21000000002</v>
      </c>
      <c r="I4">
        <v>111296</v>
      </c>
      <c r="J4">
        <v>29.93</v>
      </c>
      <c r="K4">
        <v>3</v>
      </c>
      <c r="L4">
        <v>3</v>
      </c>
      <c r="M4">
        <v>3</v>
      </c>
      <c r="N4">
        <v>43</v>
      </c>
    </row>
    <row r="5" spans="1:14" x14ac:dyDescent="0.25">
      <c r="A5">
        <v>17</v>
      </c>
      <c r="B5" t="s">
        <v>538</v>
      </c>
      <c r="C5" t="s">
        <v>19</v>
      </c>
      <c r="D5" t="s">
        <v>578</v>
      </c>
      <c r="E5">
        <v>23533</v>
      </c>
      <c r="F5">
        <v>32668</v>
      </c>
      <c r="G5">
        <v>411157.32</v>
      </c>
      <c r="H5">
        <v>306545.32</v>
      </c>
      <c r="I5">
        <v>104612</v>
      </c>
      <c r="J5">
        <v>30.17</v>
      </c>
      <c r="K5">
        <v>2.85</v>
      </c>
      <c r="L5">
        <v>4</v>
      </c>
      <c r="M5">
        <v>5</v>
      </c>
      <c r="N5">
        <v>39</v>
      </c>
    </row>
    <row r="6" spans="1:14" x14ac:dyDescent="0.25">
      <c r="A6">
        <v>7</v>
      </c>
      <c r="B6" t="s">
        <v>479</v>
      </c>
      <c r="C6" t="s">
        <v>19</v>
      </c>
      <c r="D6" t="s">
        <v>579</v>
      </c>
      <c r="E6">
        <v>21300</v>
      </c>
      <c r="F6">
        <v>28318</v>
      </c>
      <c r="G6">
        <v>372998.82</v>
      </c>
      <c r="H6">
        <v>266215.82</v>
      </c>
      <c r="I6">
        <v>106783</v>
      </c>
      <c r="J6">
        <v>32.14</v>
      </c>
      <c r="K6">
        <v>2.58</v>
      </c>
      <c r="L6">
        <v>5</v>
      </c>
      <c r="M6">
        <v>4</v>
      </c>
      <c r="N6">
        <v>9</v>
      </c>
    </row>
    <row r="7" spans="1:14" x14ac:dyDescent="0.25">
      <c r="A7">
        <v>46</v>
      </c>
      <c r="B7" t="s">
        <v>547</v>
      </c>
      <c r="C7" t="s">
        <v>19</v>
      </c>
      <c r="D7" t="s">
        <v>577</v>
      </c>
      <c r="E7">
        <v>18739</v>
      </c>
      <c r="F7">
        <v>24136</v>
      </c>
      <c r="G7">
        <v>348466.64</v>
      </c>
      <c r="H7">
        <v>246288.64000000001</v>
      </c>
      <c r="I7">
        <v>102178</v>
      </c>
      <c r="J7">
        <v>31.23</v>
      </c>
      <c r="K7">
        <v>2.41</v>
      </c>
      <c r="L7">
        <v>6</v>
      </c>
      <c r="M7">
        <v>6</v>
      </c>
      <c r="N7">
        <v>26</v>
      </c>
    </row>
    <row r="8" spans="1:14" x14ac:dyDescent="0.25">
      <c r="A8">
        <v>42</v>
      </c>
      <c r="B8" t="s">
        <v>512</v>
      </c>
      <c r="C8" t="s">
        <v>26</v>
      </c>
      <c r="D8" t="s">
        <v>580</v>
      </c>
      <c r="E8">
        <v>16553</v>
      </c>
      <c r="F8">
        <v>23236</v>
      </c>
      <c r="G8">
        <v>344846.64</v>
      </c>
      <c r="H8">
        <v>246021.64</v>
      </c>
      <c r="I8">
        <v>98825</v>
      </c>
      <c r="J8">
        <v>32.35</v>
      </c>
      <c r="K8">
        <v>2.39</v>
      </c>
      <c r="L8">
        <v>7</v>
      </c>
      <c r="M8">
        <v>7</v>
      </c>
      <c r="N8">
        <v>8</v>
      </c>
    </row>
    <row r="9" spans="1:14" x14ac:dyDescent="0.25">
      <c r="A9">
        <v>39</v>
      </c>
      <c r="B9" t="s">
        <v>509</v>
      </c>
      <c r="C9" t="s">
        <v>19</v>
      </c>
      <c r="D9" t="s">
        <v>581</v>
      </c>
      <c r="E9">
        <v>18809</v>
      </c>
      <c r="F9">
        <v>25296</v>
      </c>
      <c r="G9">
        <v>344307.04</v>
      </c>
      <c r="H9">
        <v>255670.04</v>
      </c>
      <c r="I9">
        <v>88637</v>
      </c>
      <c r="J9">
        <v>29.92</v>
      </c>
      <c r="K9">
        <v>2.38</v>
      </c>
      <c r="L9">
        <v>8</v>
      </c>
      <c r="M9">
        <v>13</v>
      </c>
      <c r="N9">
        <v>44</v>
      </c>
    </row>
    <row r="10" spans="1:14" x14ac:dyDescent="0.25">
      <c r="A10">
        <v>37</v>
      </c>
      <c r="B10" t="s">
        <v>505</v>
      </c>
      <c r="C10" t="s">
        <v>21</v>
      </c>
      <c r="D10" t="s">
        <v>576</v>
      </c>
      <c r="E10">
        <v>19551</v>
      </c>
      <c r="F10">
        <v>26634</v>
      </c>
      <c r="G10">
        <v>337424.66</v>
      </c>
      <c r="H10">
        <v>243403.66</v>
      </c>
      <c r="I10">
        <v>94021</v>
      </c>
      <c r="J10">
        <v>31.51</v>
      </c>
      <c r="K10">
        <v>2.34</v>
      </c>
      <c r="L10">
        <v>9</v>
      </c>
      <c r="M10">
        <v>10</v>
      </c>
      <c r="N10">
        <v>19</v>
      </c>
    </row>
    <row r="11" spans="1:14" x14ac:dyDescent="0.25">
      <c r="A11">
        <v>4</v>
      </c>
      <c r="B11" t="s">
        <v>473</v>
      </c>
      <c r="C11" t="s">
        <v>19</v>
      </c>
      <c r="D11" t="s">
        <v>582</v>
      </c>
      <c r="E11">
        <v>18924</v>
      </c>
      <c r="F11">
        <v>24010</v>
      </c>
      <c r="G11">
        <v>330408.90000000002</v>
      </c>
      <c r="H11">
        <v>236156.9</v>
      </c>
      <c r="I11">
        <v>94252</v>
      </c>
      <c r="J11">
        <v>31.99</v>
      </c>
      <c r="K11">
        <v>2.29</v>
      </c>
      <c r="L11">
        <v>10</v>
      </c>
      <c r="M11">
        <v>9</v>
      </c>
      <c r="N11">
        <v>10</v>
      </c>
    </row>
    <row r="12" spans="1:14" x14ac:dyDescent="0.25">
      <c r="A12">
        <v>47</v>
      </c>
      <c r="B12" t="s">
        <v>546</v>
      </c>
      <c r="C12" t="s">
        <v>26</v>
      </c>
      <c r="D12" t="s">
        <v>579</v>
      </c>
      <c r="E12">
        <v>16276</v>
      </c>
      <c r="F12">
        <v>22450</v>
      </c>
      <c r="G12">
        <v>325073.5</v>
      </c>
      <c r="H12">
        <v>245734.5</v>
      </c>
      <c r="I12">
        <v>79339</v>
      </c>
      <c r="J12">
        <v>28.35</v>
      </c>
      <c r="K12">
        <v>2.25</v>
      </c>
      <c r="L12">
        <v>11</v>
      </c>
      <c r="M12">
        <v>20</v>
      </c>
      <c r="N12">
        <v>50</v>
      </c>
    </row>
    <row r="13" spans="1:14" x14ac:dyDescent="0.25">
      <c r="A13">
        <v>45</v>
      </c>
      <c r="B13" t="s">
        <v>515</v>
      </c>
      <c r="C13" t="s">
        <v>26</v>
      </c>
      <c r="D13" t="s">
        <v>576</v>
      </c>
      <c r="E13">
        <v>17668</v>
      </c>
      <c r="F13">
        <v>22729</v>
      </c>
      <c r="G13">
        <v>323957.71000000002</v>
      </c>
      <c r="H13">
        <v>233572.71</v>
      </c>
      <c r="I13">
        <v>90385</v>
      </c>
      <c r="J13">
        <v>31.12</v>
      </c>
      <c r="K13">
        <v>2.2400000000000002</v>
      </c>
      <c r="L13">
        <v>12</v>
      </c>
      <c r="M13">
        <v>12</v>
      </c>
      <c r="N13">
        <v>30</v>
      </c>
    </row>
    <row r="14" spans="1:14" x14ac:dyDescent="0.25">
      <c r="A14">
        <v>41</v>
      </c>
      <c r="B14" t="s">
        <v>511</v>
      </c>
      <c r="C14" t="s">
        <v>19</v>
      </c>
      <c r="D14" t="s">
        <v>580</v>
      </c>
      <c r="E14">
        <v>18018</v>
      </c>
      <c r="F14">
        <v>23498</v>
      </c>
      <c r="G14">
        <v>323427.02</v>
      </c>
      <c r="H14">
        <v>235432.02</v>
      </c>
      <c r="I14">
        <v>87995</v>
      </c>
      <c r="J14">
        <v>30.57</v>
      </c>
      <c r="K14">
        <v>2.2400000000000002</v>
      </c>
      <c r="L14">
        <v>13</v>
      </c>
      <c r="M14">
        <v>16</v>
      </c>
      <c r="N14">
        <v>34</v>
      </c>
    </row>
    <row r="15" spans="1:14" x14ac:dyDescent="0.25">
      <c r="A15">
        <v>14</v>
      </c>
      <c r="B15" t="s">
        <v>485</v>
      </c>
      <c r="C15" t="s">
        <v>19</v>
      </c>
      <c r="D15" t="s">
        <v>583</v>
      </c>
      <c r="E15">
        <v>18157</v>
      </c>
      <c r="F15">
        <v>24740</v>
      </c>
      <c r="G15">
        <v>313916.59999999998</v>
      </c>
      <c r="H15">
        <v>225914.6</v>
      </c>
      <c r="I15">
        <v>88002</v>
      </c>
      <c r="J15">
        <v>31.86</v>
      </c>
      <c r="K15">
        <v>2.17</v>
      </c>
      <c r="L15">
        <v>14</v>
      </c>
      <c r="M15">
        <v>15</v>
      </c>
      <c r="N15">
        <v>12</v>
      </c>
    </row>
    <row r="16" spans="1:14" x14ac:dyDescent="0.25">
      <c r="A16">
        <v>10</v>
      </c>
      <c r="B16" t="s">
        <v>541</v>
      </c>
      <c r="C16" t="s">
        <v>19</v>
      </c>
      <c r="D16" t="s">
        <v>584</v>
      </c>
      <c r="E16">
        <v>17695</v>
      </c>
      <c r="F16">
        <v>24556</v>
      </c>
      <c r="G16">
        <v>311786.44</v>
      </c>
      <c r="H16">
        <v>223538.44</v>
      </c>
      <c r="I16">
        <v>88248</v>
      </c>
      <c r="J16">
        <v>31.5</v>
      </c>
      <c r="K16">
        <v>2.16</v>
      </c>
      <c r="L16">
        <v>15</v>
      </c>
      <c r="M16">
        <v>14</v>
      </c>
      <c r="N16">
        <v>20</v>
      </c>
    </row>
    <row r="17" spans="1:14" x14ac:dyDescent="0.25">
      <c r="A17">
        <v>25</v>
      </c>
      <c r="B17" t="s">
        <v>495</v>
      </c>
      <c r="C17" t="s">
        <v>19</v>
      </c>
      <c r="D17" t="s">
        <v>585</v>
      </c>
      <c r="E17">
        <v>16034</v>
      </c>
      <c r="F17">
        <v>20501</v>
      </c>
      <c r="G17">
        <v>294803.99</v>
      </c>
      <c r="H17">
        <v>211715.99</v>
      </c>
      <c r="I17">
        <v>83088</v>
      </c>
      <c r="J17">
        <v>31.74</v>
      </c>
      <c r="K17">
        <v>2.04</v>
      </c>
      <c r="L17">
        <v>16</v>
      </c>
      <c r="M17">
        <v>18</v>
      </c>
      <c r="N17">
        <v>15</v>
      </c>
    </row>
    <row r="18" spans="1:14" x14ac:dyDescent="0.25">
      <c r="A18">
        <v>6</v>
      </c>
      <c r="B18" t="s">
        <v>478</v>
      </c>
      <c r="C18" t="s">
        <v>26</v>
      </c>
      <c r="D18" t="s">
        <v>586</v>
      </c>
      <c r="E18">
        <v>16864</v>
      </c>
      <c r="F18">
        <v>22858</v>
      </c>
      <c r="G18">
        <v>294019.42</v>
      </c>
      <c r="H18">
        <v>196813.42</v>
      </c>
      <c r="I18">
        <v>97206</v>
      </c>
      <c r="J18">
        <v>34.21</v>
      </c>
      <c r="K18">
        <v>2.04</v>
      </c>
      <c r="L18">
        <v>17</v>
      </c>
      <c r="M18">
        <v>8</v>
      </c>
      <c r="N18">
        <v>1</v>
      </c>
    </row>
    <row r="19" spans="1:14" x14ac:dyDescent="0.25">
      <c r="A19">
        <v>13</v>
      </c>
      <c r="B19" t="s">
        <v>484</v>
      </c>
      <c r="C19" t="s">
        <v>19</v>
      </c>
      <c r="D19" t="s">
        <v>586</v>
      </c>
      <c r="E19">
        <v>16991</v>
      </c>
      <c r="F19">
        <v>21557</v>
      </c>
      <c r="G19">
        <v>292156.43</v>
      </c>
      <c r="H19">
        <v>214314.43</v>
      </c>
      <c r="I19">
        <v>77842</v>
      </c>
      <c r="J19">
        <v>30.7</v>
      </c>
      <c r="K19">
        <v>2.02</v>
      </c>
      <c r="L19">
        <v>18</v>
      </c>
      <c r="M19">
        <v>22</v>
      </c>
      <c r="N19">
        <v>32</v>
      </c>
    </row>
    <row r="20" spans="1:14" x14ac:dyDescent="0.25">
      <c r="A20">
        <v>33</v>
      </c>
      <c r="B20" t="s">
        <v>500</v>
      </c>
      <c r="C20" t="s">
        <v>15</v>
      </c>
      <c r="D20" t="s">
        <v>579</v>
      </c>
      <c r="E20">
        <v>16049</v>
      </c>
      <c r="F20">
        <v>22076</v>
      </c>
      <c r="G20">
        <v>285814.24</v>
      </c>
      <c r="H20">
        <v>199192.24</v>
      </c>
      <c r="I20">
        <v>86622</v>
      </c>
      <c r="J20">
        <v>32.57</v>
      </c>
      <c r="K20">
        <v>1.98</v>
      </c>
      <c r="L20">
        <v>19</v>
      </c>
      <c r="M20">
        <v>17</v>
      </c>
      <c r="N20">
        <v>6</v>
      </c>
    </row>
    <row r="21" spans="1:14" x14ac:dyDescent="0.25">
      <c r="A21">
        <v>28</v>
      </c>
      <c r="B21" t="s">
        <v>498</v>
      </c>
      <c r="C21" t="s">
        <v>19</v>
      </c>
      <c r="D21" t="s">
        <v>587</v>
      </c>
      <c r="E21">
        <v>16764</v>
      </c>
      <c r="F21">
        <v>22413</v>
      </c>
      <c r="G21">
        <v>282616.87</v>
      </c>
      <c r="H21">
        <v>207534.87</v>
      </c>
      <c r="I21">
        <v>75082</v>
      </c>
      <c r="J21">
        <v>30.43</v>
      </c>
      <c r="K21">
        <v>1.96</v>
      </c>
      <c r="L21">
        <v>20</v>
      </c>
      <c r="M21">
        <v>28</v>
      </c>
      <c r="N21">
        <v>36</v>
      </c>
    </row>
    <row r="22" spans="1:14" x14ac:dyDescent="0.25">
      <c r="A22">
        <v>22</v>
      </c>
      <c r="B22" t="s">
        <v>492</v>
      </c>
      <c r="C22" t="s">
        <v>26</v>
      </c>
      <c r="D22" t="s">
        <v>583</v>
      </c>
      <c r="E22">
        <v>16494</v>
      </c>
      <c r="F22">
        <v>21133</v>
      </c>
      <c r="G22">
        <v>278926.67</v>
      </c>
      <c r="H22">
        <v>199376.67</v>
      </c>
      <c r="I22">
        <v>79550</v>
      </c>
      <c r="J22">
        <v>31.74</v>
      </c>
      <c r="K22">
        <v>1.93</v>
      </c>
      <c r="L22">
        <v>21</v>
      </c>
      <c r="M22">
        <v>19</v>
      </c>
      <c r="N22">
        <v>16</v>
      </c>
    </row>
    <row r="23" spans="1:14" x14ac:dyDescent="0.25">
      <c r="A23">
        <v>2</v>
      </c>
      <c r="B23" t="s">
        <v>465</v>
      </c>
      <c r="C23" t="s">
        <v>21</v>
      </c>
      <c r="D23" t="s">
        <v>579</v>
      </c>
      <c r="E23">
        <v>15698</v>
      </c>
      <c r="F23">
        <v>20886</v>
      </c>
      <c r="G23">
        <v>277959.14</v>
      </c>
      <c r="H23">
        <v>203974.14</v>
      </c>
      <c r="I23">
        <v>73985</v>
      </c>
      <c r="J23">
        <v>31.06</v>
      </c>
      <c r="K23">
        <v>1.92</v>
      </c>
      <c r="L23">
        <v>22</v>
      </c>
      <c r="M23">
        <v>30</v>
      </c>
      <c r="N23">
        <v>31</v>
      </c>
    </row>
    <row r="24" spans="1:14" x14ac:dyDescent="0.25">
      <c r="A24">
        <v>21</v>
      </c>
      <c r="B24" t="s">
        <v>537</v>
      </c>
      <c r="C24" t="s">
        <v>19</v>
      </c>
      <c r="D24" t="s">
        <v>588</v>
      </c>
      <c r="E24">
        <v>16111</v>
      </c>
      <c r="F24">
        <v>20286</v>
      </c>
      <c r="G24">
        <v>277598.14</v>
      </c>
      <c r="H24">
        <v>204676.14</v>
      </c>
      <c r="I24">
        <v>72922</v>
      </c>
      <c r="J24">
        <v>30.44</v>
      </c>
      <c r="K24">
        <v>1.92</v>
      </c>
      <c r="L24">
        <v>23</v>
      </c>
      <c r="M24">
        <v>31</v>
      </c>
      <c r="N24">
        <v>35</v>
      </c>
    </row>
    <row r="25" spans="1:14" x14ac:dyDescent="0.25">
      <c r="A25">
        <v>50</v>
      </c>
      <c r="B25" t="s">
        <v>518</v>
      </c>
      <c r="C25" t="s">
        <v>21</v>
      </c>
      <c r="D25" t="s">
        <v>583</v>
      </c>
      <c r="E25">
        <v>14569</v>
      </c>
      <c r="F25">
        <v>18444</v>
      </c>
      <c r="G25">
        <v>276212.56</v>
      </c>
      <c r="H25">
        <v>208717.56</v>
      </c>
      <c r="I25">
        <v>67495</v>
      </c>
      <c r="J25">
        <v>29.79</v>
      </c>
      <c r="K25">
        <v>1.91</v>
      </c>
      <c r="L25">
        <v>24</v>
      </c>
      <c r="M25">
        <v>38</v>
      </c>
      <c r="N25">
        <v>45</v>
      </c>
    </row>
    <row r="26" spans="1:14" x14ac:dyDescent="0.25">
      <c r="A26">
        <v>36</v>
      </c>
      <c r="B26" t="s">
        <v>503</v>
      </c>
      <c r="C26" t="s">
        <v>19</v>
      </c>
      <c r="D26" t="s">
        <v>589</v>
      </c>
      <c r="E26">
        <v>14956</v>
      </c>
      <c r="F26">
        <v>20895</v>
      </c>
      <c r="G26">
        <v>273060.05</v>
      </c>
      <c r="H26">
        <v>182576.05</v>
      </c>
      <c r="I26">
        <v>90484</v>
      </c>
      <c r="J26">
        <v>33.340000000000003</v>
      </c>
      <c r="K26">
        <v>1.89</v>
      </c>
      <c r="L26">
        <v>25</v>
      </c>
      <c r="M26">
        <v>11</v>
      </c>
      <c r="N26">
        <v>3</v>
      </c>
    </row>
    <row r="27" spans="1:14" x14ac:dyDescent="0.25">
      <c r="A27">
        <v>38</v>
      </c>
      <c r="B27" t="s">
        <v>508</v>
      </c>
      <c r="C27" t="s">
        <v>19</v>
      </c>
      <c r="D27" t="s">
        <v>590</v>
      </c>
      <c r="E27">
        <v>16580</v>
      </c>
      <c r="F27">
        <v>22326</v>
      </c>
      <c r="G27">
        <v>268704.74</v>
      </c>
      <c r="H27">
        <v>191441.74</v>
      </c>
      <c r="I27">
        <v>77263</v>
      </c>
      <c r="J27">
        <v>31.2</v>
      </c>
      <c r="K27">
        <v>1.86</v>
      </c>
      <c r="L27">
        <v>26</v>
      </c>
      <c r="M27">
        <v>23</v>
      </c>
      <c r="N27">
        <v>28</v>
      </c>
    </row>
    <row r="28" spans="1:14" x14ac:dyDescent="0.25">
      <c r="A28">
        <v>44</v>
      </c>
      <c r="B28" t="s">
        <v>514</v>
      </c>
      <c r="C28" t="s">
        <v>21</v>
      </c>
      <c r="D28" t="s">
        <v>587</v>
      </c>
      <c r="E28">
        <v>14868</v>
      </c>
      <c r="F28">
        <v>19345</v>
      </c>
      <c r="G28">
        <v>267559.55</v>
      </c>
      <c r="H28">
        <v>188889.55</v>
      </c>
      <c r="I28">
        <v>78670</v>
      </c>
      <c r="J28">
        <v>32.57</v>
      </c>
      <c r="K28">
        <v>1.85</v>
      </c>
      <c r="L28">
        <v>27</v>
      </c>
      <c r="M28">
        <v>21</v>
      </c>
      <c r="N28">
        <v>7</v>
      </c>
    </row>
    <row r="29" spans="1:14" x14ac:dyDescent="0.25">
      <c r="A29">
        <v>29</v>
      </c>
      <c r="B29" t="s">
        <v>521</v>
      </c>
      <c r="C29" t="s">
        <v>26</v>
      </c>
      <c r="D29" t="s">
        <v>581</v>
      </c>
      <c r="E29">
        <v>14998</v>
      </c>
      <c r="F29">
        <v>18927</v>
      </c>
      <c r="G29">
        <v>265812.73</v>
      </c>
      <c r="H29">
        <v>190729.73</v>
      </c>
      <c r="I29">
        <v>75083</v>
      </c>
      <c r="J29">
        <v>31.23</v>
      </c>
      <c r="K29">
        <v>1.84</v>
      </c>
      <c r="L29">
        <v>28</v>
      </c>
      <c r="M29">
        <v>27</v>
      </c>
      <c r="N29">
        <v>27</v>
      </c>
    </row>
    <row r="30" spans="1:14" x14ac:dyDescent="0.25">
      <c r="A30">
        <v>16</v>
      </c>
      <c r="B30" t="s">
        <v>487</v>
      </c>
      <c r="C30" t="s">
        <v>19</v>
      </c>
      <c r="D30" t="s">
        <v>591</v>
      </c>
      <c r="E30">
        <v>15499</v>
      </c>
      <c r="F30">
        <v>19635</v>
      </c>
      <c r="G30">
        <v>263389.65000000002</v>
      </c>
      <c r="H30">
        <v>194509.65</v>
      </c>
      <c r="I30">
        <v>68880</v>
      </c>
      <c r="J30">
        <v>30.15</v>
      </c>
      <c r="K30">
        <v>1.82</v>
      </c>
      <c r="L30">
        <v>29</v>
      </c>
      <c r="M30">
        <v>35</v>
      </c>
      <c r="N30">
        <v>41</v>
      </c>
    </row>
    <row r="31" spans="1:14" x14ac:dyDescent="0.25">
      <c r="A31">
        <v>3</v>
      </c>
      <c r="B31" t="s">
        <v>470</v>
      </c>
      <c r="C31" t="s">
        <v>26</v>
      </c>
      <c r="D31" t="s">
        <v>577</v>
      </c>
      <c r="E31">
        <v>16331</v>
      </c>
      <c r="F31">
        <v>20698</v>
      </c>
      <c r="G31">
        <v>262435.02</v>
      </c>
      <c r="H31">
        <v>186683.02</v>
      </c>
      <c r="I31">
        <v>75752</v>
      </c>
      <c r="J31">
        <v>31.83</v>
      </c>
      <c r="K31">
        <v>1.82</v>
      </c>
      <c r="L31">
        <v>30</v>
      </c>
      <c r="M31">
        <v>26</v>
      </c>
      <c r="N31">
        <v>13</v>
      </c>
    </row>
    <row r="32" spans="1:14" x14ac:dyDescent="0.25">
      <c r="A32">
        <v>1</v>
      </c>
      <c r="B32" t="s">
        <v>461</v>
      </c>
      <c r="C32" t="s">
        <v>21</v>
      </c>
      <c r="D32" t="s">
        <v>577</v>
      </c>
      <c r="E32">
        <v>15926</v>
      </c>
      <c r="F32">
        <v>20011</v>
      </c>
      <c r="G32">
        <v>261842.89</v>
      </c>
      <c r="H32">
        <v>192413.89</v>
      </c>
      <c r="I32">
        <v>69429</v>
      </c>
      <c r="J32">
        <v>30.65</v>
      </c>
      <c r="K32">
        <v>1.81</v>
      </c>
      <c r="L32">
        <v>31</v>
      </c>
      <c r="M32">
        <v>33</v>
      </c>
      <c r="N32">
        <v>33</v>
      </c>
    </row>
    <row r="33" spans="1:14" x14ac:dyDescent="0.25">
      <c r="A33">
        <v>12</v>
      </c>
      <c r="B33" t="s">
        <v>535</v>
      </c>
      <c r="C33" t="s">
        <v>19</v>
      </c>
      <c r="D33" t="s">
        <v>592</v>
      </c>
      <c r="E33">
        <v>14644</v>
      </c>
      <c r="F33">
        <v>18965</v>
      </c>
      <c r="G33">
        <v>258919.35</v>
      </c>
      <c r="H33">
        <v>190979.35</v>
      </c>
      <c r="I33">
        <v>67940</v>
      </c>
      <c r="J33">
        <v>30.2</v>
      </c>
      <c r="K33">
        <v>1.79</v>
      </c>
      <c r="L33">
        <v>32</v>
      </c>
      <c r="M33">
        <v>37</v>
      </c>
      <c r="N33">
        <v>38</v>
      </c>
    </row>
    <row r="34" spans="1:14" x14ac:dyDescent="0.25">
      <c r="A34">
        <v>19</v>
      </c>
      <c r="B34" t="s">
        <v>489</v>
      </c>
      <c r="C34" t="s">
        <v>26</v>
      </c>
      <c r="D34" t="s">
        <v>587</v>
      </c>
      <c r="E34">
        <v>15776</v>
      </c>
      <c r="F34">
        <v>19413</v>
      </c>
      <c r="G34">
        <v>258533.87</v>
      </c>
      <c r="H34">
        <v>182591.87</v>
      </c>
      <c r="I34">
        <v>75942</v>
      </c>
      <c r="J34">
        <v>33.049999999999997</v>
      </c>
      <c r="K34">
        <v>1.79</v>
      </c>
      <c r="L34">
        <v>33</v>
      </c>
      <c r="M34">
        <v>25</v>
      </c>
      <c r="N34">
        <v>4</v>
      </c>
    </row>
    <row r="35" spans="1:14" x14ac:dyDescent="0.25">
      <c r="A35">
        <v>34</v>
      </c>
      <c r="B35" t="s">
        <v>501</v>
      </c>
      <c r="C35" t="s">
        <v>19</v>
      </c>
      <c r="D35" t="s">
        <v>593</v>
      </c>
      <c r="E35">
        <v>16324</v>
      </c>
      <c r="F35">
        <v>20934</v>
      </c>
      <c r="G35">
        <v>258210.66</v>
      </c>
      <c r="H35">
        <v>183989.66</v>
      </c>
      <c r="I35">
        <v>74221</v>
      </c>
      <c r="J35">
        <v>31.45</v>
      </c>
      <c r="K35">
        <v>1.79</v>
      </c>
      <c r="L35">
        <v>34</v>
      </c>
      <c r="M35">
        <v>29</v>
      </c>
      <c r="N35">
        <v>23</v>
      </c>
    </row>
    <row r="36" spans="1:14" x14ac:dyDescent="0.25">
      <c r="A36">
        <v>49</v>
      </c>
      <c r="B36" t="s">
        <v>517</v>
      </c>
      <c r="C36" t="s">
        <v>19</v>
      </c>
      <c r="D36" t="s">
        <v>594</v>
      </c>
      <c r="E36">
        <v>14594</v>
      </c>
      <c r="F36">
        <v>19909</v>
      </c>
      <c r="G36">
        <v>251160.91</v>
      </c>
      <c r="H36">
        <v>187201.91</v>
      </c>
      <c r="I36">
        <v>63959</v>
      </c>
      <c r="J36">
        <v>29.58</v>
      </c>
      <c r="K36">
        <v>1.74</v>
      </c>
      <c r="L36">
        <v>35</v>
      </c>
      <c r="M36">
        <v>43</v>
      </c>
      <c r="N36">
        <v>49</v>
      </c>
    </row>
    <row r="37" spans="1:14" x14ac:dyDescent="0.25">
      <c r="A37">
        <v>48</v>
      </c>
      <c r="B37" t="s">
        <v>516</v>
      </c>
      <c r="C37" t="s">
        <v>26</v>
      </c>
      <c r="D37" t="s">
        <v>582</v>
      </c>
      <c r="E37">
        <v>14166</v>
      </c>
      <c r="F37">
        <v>18893</v>
      </c>
      <c r="G37">
        <v>249106.07</v>
      </c>
      <c r="H37">
        <v>180110.07</v>
      </c>
      <c r="I37">
        <v>68996</v>
      </c>
      <c r="J37">
        <v>31.55</v>
      </c>
      <c r="K37">
        <v>1.72</v>
      </c>
      <c r="L37">
        <v>36</v>
      </c>
      <c r="M37">
        <v>34</v>
      </c>
      <c r="N37">
        <v>18</v>
      </c>
    </row>
    <row r="38" spans="1:14" x14ac:dyDescent="0.25">
      <c r="A38">
        <v>23</v>
      </c>
      <c r="B38" t="s">
        <v>545</v>
      </c>
      <c r="C38" t="s">
        <v>26</v>
      </c>
      <c r="D38" t="s">
        <v>590</v>
      </c>
      <c r="E38">
        <v>13998</v>
      </c>
      <c r="F38">
        <v>18070</v>
      </c>
      <c r="G38">
        <v>248008.3</v>
      </c>
      <c r="H38">
        <v>178403.3</v>
      </c>
      <c r="I38">
        <v>69605</v>
      </c>
      <c r="J38">
        <v>31.47</v>
      </c>
      <c r="K38">
        <v>1.72</v>
      </c>
      <c r="L38">
        <v>37</v>
      </c>
      <c r="M38">
        <v>32</v>
      </c>
      <c r="N38">
        <v>22</v>
      </c>
    </row>
    <row r="39" spans="1:14" x14ac:dyDescent="0.25">
      <c r="A39">
        <v>35</v>
      </c>
      <c r="B39" t="s">
        <v>502</v>
      </c>
      <c r="C39" t="s">
        <v>19</v>
      </c>
      <c r="D39" t="s">
        <v>595</v>
      </c>
      <c r="E39">
        <v>14592</v>
      </c>
      <c r="F39">
        <v>18327</v>
      </c>
      <c r="G39">
        <v>242539.73</v>
      </c>
      <c r="H39">
        <v>175981.73</v>
      </c>
      <c r="I39">
        <v>66558</v>
      </c>
      <c r="J39">
        <v>31.74</v>
      </c>
      <c r="K39">
        <v>1.68</v>
      </c>
      <c r="L39">
        <v>38</v>
      </c>
      <c r="M39">
        <v>39</v>
      </c>
      <c r="N39">
        <v>17</v>
      </c>
    </row>
    <row r="40" spans="1:14" x14ac:dyDescent="0.25">
      <c r="A40">
        <v>27</v>
      </c>
      <c r="B40" t="s">
        <v>497</v>
      </c>
      <c r="C40" t="s">
        <v>19</v>
      </c>
      <c r="D40" t="s">
        <v>596</v>
      </c>
      <c r="E40">
        <v>13957</v>
      </c>
      <c r="F40">
        <v>18564</v>
      </c>
      <c r="G40">
        <v>242154.36</v>
      </c>
      <c r="H40">
        <v>182536.36</v>
      </c>
      <c r="I40">
        <v>59618</v>
      </c>
      <c r="J40">
        <v>29.68</v>
      </c>
      <c r="K40">
        <v>1.68</v>
      </c>
      <c r="L40">
        <v>39</v>
      </c>
      <c r="M40">
        <v>45</v>
      </c>
      <c r="N40">
        <v>48</v>
      </c>
    </row>
    <row r="41" spans="1:14" x14ac:dyDescent="0.25">
      <c r="A41">
        <v>24</v>
      </c>
      <c r="B41" t="s">
        <v>494</v>
      </c>
      <c r="C41" t="s">
        <v>19</v>
      </c>
      <c r="D41" t="s">
        <v>597</v>
      </c>
      <c r="E41">
        <v>14588</v>
      </c>
      <c r="F41">
        <v>17865</v>
      </c>
      <c r="G41">
        <v>239997.35</v>
      </c>
      <c r="H41">
        <v>171355.35</v>
      </c>
      <c r="I41">
        <v>68642</v>
      </c>
      <c r="J41">
        <v>31.77</v>
      </c>
      <c r="K41">
        <v>1.66</v>
      </c>
      <c r="L41">
        <v>40</v>
      </c>
      <c r="M41">
        <v>36</v>
      </c>
      <c r="N41">
        <v>14</v>
      </c>
    </row>
    <row r="42" spans="1:14" x14ac:dyDescent="0.25">
      <c r="A42">
        <v>8</v>
      </c>
      <c r="B42" t="s">
        <v>480</v>
      </c>
      <c r="C42" t="s">
        <v>19</v>
      </c>
      <c r="D42" t="s">
        <v>598</v>
      </c>
      <c r="E42">
        <v>14969</v>
      </c>
      <c r="F42">
        <v>19185</v>
      </c>
      <c r="G42">
        <v>237676.15</v>
      </c>
      <c r="H42">
        <v>173687.15</v>
      </c>
      <c r="I42">
        <v>63989</v>
      </c>
      <c r="J42">
        <v>30.16</v>
      </c>
      <c r="K42">
        <v>1.65</v>
      </c>
      <c r="L42">
        <v>41</v>
      </c>
      <c r="M42">
        <v>42</v>
      </c>
      <c r="N42">
        <v>40</v>
      </c>
    </row>
    <row r="43" spans="1:14" x14ac:dyDescent="0.25">
      <c r="A43">
        <v>32</v>
      </c>
      <c r="B43" t="s">
        <v>499</v>
      </c>
      <c r="C43" t="s">
        <v>21</v>
      </c>
      <c r="D43" t="s">
        <v>580</v>
      </c>
      <c r="E43">
        <v>15264</v>
      </c>
      <c r="F43">
        <v>20082</v>
      </c>
      <c r="G43">
        <v>235115.18</v>
      </c>
      <c r="H43">
        <v>158327.18</v>
      </c>
      <c r="I43">
        <v>76788</v>
      </c>
      <c r="J43">
        <v>33.39</v>
      </c>
      <c r="K43">
        <v>1.63</v>
      </c>
      <c r="L43">
        <v>42</v>
      </c>
      <c r="M43">
        <v>24</v>
      </c>
      <c r="N43">
        <v>2</v>
      </c>
    </row>
    <row r="44" spans="1:14" x14ac:dyDescent="0.25">
      <c r="A44">
        <v>18</v>
      </c>
      <c r="B44" t="s">
        <v>488</v>
      </c>
      <c r="C44" t="s">
        <v>19</v>
      </c>
      <c r="D44" t="s">
        <v>599</v>
      </c>
      <c r="E44">
        <v>14875</v>
      </c>
      <c r="F44">
        <v>18328</v>
      </c>
      <c r="G44">
        <v>232097.72</v>
      </c>
      <c r="H44">
        <v>167698.72</v>
      </c>
      <c r="I44">
        <v>64399</v>
      </c>
      <c r="J44">
        <v>31.15</v>
      </c>
      <c r="K44">
        <v>1.61</v>
      </c>
      <c r="L44">
        <v>43</v>
      </c>
      <c r="M44">
        <v>41</v>
      </c>
      <c r="N44">
        <v>29</v>
      </c>
    </row>
    <row r="45" spans="1:14" x14ac:dyDescent="0.25">
      <c r="A45">
        <v>20</v>
      </c>
      <c r="B45" t="s">
        <v>491</v>
      </c>
      <c r="C45" t="s">
        <v>19</v>
      </c>
      <c r="D45" t="s">
        <v>600</v>
      </c>
      <c r="E45">
        <v>13501</v>
      </c>
      <c r="F45">
        <v>17196</v>
      </c>
      <c r="G45">
        <v>229983.04</v>
      </c>
      <c r="H45">
        <v>170823.04000000001</v>
      </c>
      <c r="I45">
        <v>59160</v>
      </c>
      <c r="J45">
        <v>29.73</v>
      </c>
      <c r="K45">
        <v>1.59</v>
      </c>
      <c r="L45">
        <v>44</v>
      </c>
      <c r="M45">
        <v>46</v>
      </c>
      <c r="N45">
        <v>47</v>
      </c>
    </row>
    <row r="46" spans="1:14" x14ac:dyDescent="0.25">
      <c r="A46">
        <v>15</v>
      </c>
      <c r="B46" t="s">
        <v>486</v>
      </c>
      <c r="C46" t="s">
        <v>19</v>
      </c>
      <c r="D46" t="s">
        <v>601</v>
      </c>
      <c r="E46">
        <v>14618</v>
      </c>
      <c r="F46">
        <v>19773</v>
      </c>
      <c r="G46">
        <v>229698.27</v>
      </c>
      <c r="H46">
        <v>163911.26999999999</v>
      </c>
      <c r="I46">
        <v>65787</v>
      </c>
      <c r="J46">
        <v>31.36</v>
      </c>
      <c r="K46">
        <v>1.59</v>
      </c>
      <c r="L46">
        <v>45</v>
      </c>
      <c r="M46">
        <v>40</v>
      </c>
      <c r="N46">
        <v>24</v>
      </c>
    </row>
    <row r="47" spans="1:14" x14ac:dyDescent="0.25">
      <c r="A47">
        <v>40</v>
      </c>
      <c r="B47" t="s">
        <v>510</v>
      </c>
      <c r="C47" t="s">
        <v>26</v>
      </c>
      <c r="D47" t="s">
        <v>578</v>
      </c>
      <c r="E47">
        <v>12776</v>
      </c>
      <c r="F47">
        <v>15964</v>
      </c>
      <c r="G47">
        <v>222364.36</v>
      </c>
      <c r="H47">
        <v>164274.35999999999</v>
      </c>
      <c r="I47">
        <v>58090</v>
      </c>
      <c r="J47">
        <v>29.76</v>
      </c>
      <c r="K47">
        <v>1.54</v>
      </c>
      <c r="L47">
        <v>46</v>
      </c>
      <c r="M47">
        <v>48</v>
      </c>
      <c r="N47">
        <v>46</v>
      </c>
    </row>
    <row r="48" spans="1:14" x14ac:dyDescent="0.25">
      <c r="A48">
        <v>43</v>
      </c>
      <c r="B48" t="s">
        <v>548</v>
      </c>
      <c r="C48" t="s">
        <v>19</v>
      </c>
      <c r="D48" t="s">
        <v>602</v>
      </c>
      <c r="E48">
        <v>14110</v>
      </c>
      <c r="F48">
        <v>17422</v>
      </c>
      <c r="G48">
        <v>222318.78</v>
      </c>
      <c r="H48">
        <v>159645.78</v>
      </c>
      <c r="I48">
        <v>62673</v>
      </c>
      <c r="J48">
        <v>31.49</v>
      </c>
      <c r="K48">
        <v>1.54</v>
      </c>
      <c r="L48">
        <v>47</v>
      </c>
      <c r="M48">
        <v>44</v>
      </c>
      <c r="N48">
        <v>21</v>
      </c>
    </row>
    <row r="49" spans="1:14" x14ac:dyDescent="0.25">
      <c r="A49">
        <v>11</v>
      </c>
      <c r="B49" t="s">
        <v>483</v>
      </c>
      <c r="C49" t="s">
        <v>19</v>
      </c>
      <c r="D49" t="s">
        <v>603</v>
      </c>
      <c r="E49">
        <v>13643</v>
      </c>
      <c r="F49">
        <v>17074</v>
      </c>
      <c r="G49">
        <v>221587.26</v>
      </c>
      <c r="H49">
        <v>164776.26</v>
      </c>
      <c r="I49">
        <v>56811</v>
      </c>
      <c r="J49">
        <v>30.4</v>
      </c>
      <c r="K49">
        <v>1.53</v>
      </c>
      <c r="L49">
        <v>48</v>
      </c>
      <c r="M49">
        <v>50</v>
      </c>
      <c r="N49">
        <v>37</v>
      </c>
    </row>
    <row r="50" spans="1:14" x14ac:dyDescent="0.25">
      <c r="A50">
        <v>5</v>
      </c>
      <c r="B50" t="s">
        <v>474</v>
      </c>
      <c r="C50" t="s">
        <v>19</v>
      </c>
      <c r="D50" t="s">
        <v>604</v>
      </c>
      <c r="E50">
        <v>13217</v>
      </c>
      <c r="F50">
        <v>16217</v>
      </c>
      <c r="G50">
        <v>210897.83</v>
      </c>
      <c r="H50">
        <v>153490.82999999999</v>
      </c>
      <c r="I50">
        <v>57407</v>
      </c>
      <c r="J50">
        <v>31.26</v>
      </c>
      <c r="K50">
        <v>1.46</v>
      </c>
      <c r="L50">
        <v>49</v>
      </c>
      <c r="M50">
        <v>49</v>
      </c>
      <c r="N50">
        <v>25</v>
      </c>
    </row>
    <row r="51" spans="1:14" x14ac:dyDescent="0.25">
      <c r="A51">
        <v>26</v>
      </c>
      <c r="B51" t="s">
        <v>544</v>
      </c>
      <c r="C51" t="s">
        <v>26</v>
      </c>
      <c r="D51" t="s">
        <v>584</v>
      </c>
      <c r="E51">
        <v>12805</v>
      </c>
      <c r="F51">
        <v>16277</v>
      </c>
      <c r="G51">
        <v>206055.23</v>
      </c>
      <c r="H51">
        <v>147964.23000000001</v>
      </c>
      <c r="I51">
        <v>58091</v>
      </c>
      <c r="J51">
        <v>31.9</v>
      </c>
      <c r="K51">
        <v>1.43</v>
      </c>
      <c r="L51">
        <v>50</v>
      </c>
      <c r="M51">
        <v>47</v>
      </c>
      <c r="N51">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2358-E661-4E06-8112-37D782C6E867}">
  <dimension ref="A1:K36"/>
  <sheetViews>
    <sheetView topLeftCell="A10" workbookViewId="0"/>
  </sheetViews>
  <sheetFormatPr defaultRowHeight="15" x14ac:dyDescent="0.25"/>
  <cols>
    <col min="1" max="1" width="12.85546875" bestFit="1" customWidth="1"/>
    <col min="2" max="2" width="22" bestFit="1" customWidth="1"/>
    <col min="3" max="3" width="19" bestFit="1" customWidth="1"/>
    <col min="4" max="4" width="17.7109375" bestFit="1" customWidth="1"/>
    <col min="5" max="5" width="17.140625" bestFit="1" customWidth="1"/>
    <col min="6" max="6" width="23.28515625" bestFit="1" customWidth="1"/>
    <col min="7" max="7" width="26.85546875" bestFit="1" customWidth="1"/>
    <col min="8" max="8" width="22.42578125" bestFit="1" customWidth="1"/>
    <col min="9" max="9" width="12.5703125" bestFit="1" customWidth="1"/>
    <col min="10" max="10" width="18.42578125" bestFit="1" customWidth="1"/>
    <col min="11" max="11" width="23.42578125" bestFit="1" customWidth="1"/>
  </cols>
  <sheetData>
    <row r="1" spans="1:11" x14ac:dyDescent="0.25">
      <c r="A1" t="s">
        <v>456</v>
      </c>
      <c r="B1" t="s">
        <v>457</v>
      </c>
      <c r="C1" t="s">
        <v>4</v>
      </c>
      <c r="D1" t="s">
        <v>7</v>
      </c>
      <c r="E1" t="s">
        <v>563</v>
      </c>
      <c r="F1" t="s">
        <v>564</v>
      </c>
      <c r="G1" t="s">
        <v>565</v>
      </c>
      <c r="H1" t="s">
        <v>553</v>
      </c>
      <c r="I1" t="s">
        <v>566</v>
      </c>
      <c r="J1" t="s">
        <v>567</v>
      </c>
      <c r="K1" t="s">
        <v>568</v>
      </c>
    </row>
    <row r="2" spans="1:11" x14ac:dyDescent="0.25">
      <c r="A2">
        <v>6</v>
      </c>
      <c r="B2" t="s">
        <v>527</v>
      </c>
      <c r="C2" t="s">
        <v>17</v>
      </c>
      <c r="D2">
        <v>104368</v>
      </c>
      <c r="E2">
        <v>638</v>
      </c>
      <c r="F2">
        <v>163.59</v>
      </c>
      <c r="G2">
        <v>163.84</v>
      </c>
      <c r="H2">
        <v>10.83</v>
      </c>
      <c r="I2">
        <v>1</v>
      </c>
      <c r="J2">
        <v>1</v>
      </c>
      <c r="K2" t="s">
        <v>569</v>
      </c>
    </row>
    <row r="3" spans="1:11" x14ac:dyDescent="0.25">
      <c r="A3">
        <v>25</v>
      </c>
      <c r="B3" t="s">
        <v>525</v>
      </c>
      <c r="C3" t="s">
        <v>25</v>
      </c>
      <c r="D3">
        <v>103128</v>
      </c>
      <c r="E3">
        <v>638</v>
      </c>
      <c r="F3">
        <v>161.63999999999999</v>
      </c>
      <c r="G3">
        <v>161.9</v>
      </c>
      <c r="H3">
        <v>2.13</v>
      </c>
      <c r="I3">
        <v>2</v>
      </c>
      <c r="J3">
        <v>1</v>
      </c>
      <c r="K3" t="s">
        <v>569</v>
      </c>
    </row>
    <row r="4" spans="1:11" x14ac:dyDescent="0.25">
      <c r="A4">
        <v>3</v>
      </c>
      <c r="B4" t="s">
        <v>493</v>
      </c>
      <c r="C4" t="s">
        <v>25</v>
      </c>
      <c r="D4">
        <v>91663</v>
      </c>
      <c r="E4">
        <v>421</v>
      </c>
      <c r="F4">
        <v>217.73</v>
      </c>
      <c r="G4">
        <v>143.9</v>
      </c>
      <c r="H4">
        <v>2.5299999999999998</v>
      </c>
      <c r="I4">
        <v>3</v>
      </c>
      <c r="J4">
        <v>1</v>
      </c>
      <c r="K4" t="s">
        <v>569</v>
      </c>
    </row>
    <row r="5" spans="1:11" x14ac:dyDescent="0.25">
      <c r="A5">
        <v>8</v>
      </c>
      <c r="B5" t="s">
        <v>529</v>
      </c>
      <c r="C5" t="s">
        <v>14</v>
      </c>
      <c r="D5">
        <v>84034</v>
      </c>
      <c r="E5">
        <v>637</v>
      </c>
      <c r="F5">
        <v>131.91999999999999</v>
      </c>
      <c r="G5">
        <v>131.91999999999999</v>
      </c>
      <c r="H5">
        <v>4.07</v>
      </c>
      <c r="I5">
        <v>4</v>
      </c>
      <c r="J5">
        <v>1</v>
      </c>
      <c r="K5" t="s">
        <v>569</v>
      </c>
    </row>
    <row r="6" spans="1:11" x14ac:dyDescent="0.25">
      <c r="A6">
        <v>19</v>
      </c>
      <c r="B6" t="s">
        <v>522</v>
      </c>
      <c r="C6" t="s">
        <v>25</v>
      </c>
      <c r="D6">
        <v>60598</v>
      </c>
      <c r="E6">
        <v>359</v>
      </c>
      <c r="F6">
        <v>168.8</v>
      </c>
      <c r="G6">
        <v>95.13</v>
      </c>
      <c r="H6">
        <v>6.71</v>
      </c>
      <c r="I6">
        <v>5</v>
      </c>
      <c r="J6">
        <v>1</v>
      </c>
      <c r="K6" t="s">
        <v>569</v>
      </c>
    </row>
    <row r="7" spans="1:11" x14ac:dyDescent="0.25">
      <c r="A7">
        <v>31</v>
      </c>
      <c r="B7" t="s">
        <v>496</v>
      </c>
      <c r="C7" t="s">
        <v>28</v>
      </c>
      <c r="D7">
        <v>60248</v>
      </c>
      <c r="E7">
        <v>633</v>
      </c>
      <c r="F7">
        <v>95.18</v>
      </c>
      <c r="G7">
        <v>94.58</v>
      </c>
      <c r="H7">
        <v>3.75</v>
      </c>
      <c r="I7">
        <v>6</v>
      </c>
      <c r="J7">
        <v>1</v>
      </c>
      <c r="K7" t="s">
        <v>569</v>
      </c>
    </row>
    <row r="8" spans="1:11" x14ac:dyDescent="0.25">
      <c r="A8">
        <v>18</v>
      </c>
      <c r="B8" t="s">
        <v>532</v>
      </c>
      <c r="C8" t="s">
        <v>23</v>
      </c>
      <c r="D8">
        <v>59737</v>
      </c>
      <c r="E8">
        <v>612</v>
      </c>
      <c r="F8">
        <v>97.61</v>
      </c>
      <c r="G8">
        <v>93.78</v>
      </c>
      <c r="H8">
        <v>16.54</v>
      </c>
      <c r="I8">
        <v>7</v>
      </c>
      <c r="J8">
        <v>1</v>
      </c>
      <c r="K8" t="s">
        <v>569</v>
      </c>
    </row>
    <row r="9" spans="1:11" x14ac:dyDescent="0.25">
      <c r="A9">
        <v>1</v>
      </c>
      <c r="B9" t="s">
        <v>466</v>
      </c>
      <c r="C9" t="s">
        <v>23</v>
      </c>
      <c r="D9">
        <v>57958</v>
      </c>
      <c r="E9">
        <v>636</v>
      </c>
      <c r="F9">
        <v>91.13</v>
      </c>
      <c r="G9">
        <v>90.99</v>
      </c>
      <c r="H9">
        <v>6.42</v>
      </c>
      <c r="I9">
        <v>8</v>
      </c>
      <c r="J9">
        <v>2</v>
      </c>
      <c r="K9" t="s">
        <v>570</v>
      </c>
    </row>
    <row r="10" spans="1:11" x14ac:dyDescent="0.25">
      <c r="A10">
        <v>30</v>
      </c>
      <c r="B10" t="s">
        <v>530</v>
      </c>
      <c r="C10" t="s">
        <v>14</v>
      </c>
      <c r="D10">
        <v>45672</v>
      </c>
      <c r="E10">
        <v>632</v>
      </c>
      <c r="F10">
        <v>72.27</v>
      </c>
      <c r="G10">
        <v>71.7</v>
      </c>
      <c r="H10">
        <v>6.32</v>
      </c>
      <c r="I10">
        <v>9</v>
      </c>
      <c r="J10">
        <v>2</v>
      </c>
      <c r="K10" t="s">
        <v>570</v>
      </c>
    </row>
    <row r="11" spans="1:11" x14ac:dyDescent="0.25">
      <c r="A11">
        <v>2</v>
      </c>
      <c r="B11" t="s">
        <v>462</v>
      </c>
      <c r="C11" t="s">
        <v>23</v>
      </c>
      <c r="D11">
        <v>39089</v>
      </c>
      <c r="E11">
        <v>630</v>
      </c>
      <c r="F11">
        <v>62.05</v>
      </c>
      <c r="G11">
        <v>61.36</v>
      </c>
      <c r="H11">
        <v>3.52</v>
      </c>
      <c r="I11">
        <v>10</v>
      </c>
      <c r="J11">
        <v>2</v>
      </c>
      <c r="K11" t="s">
        <v>570</v>
      </c>
    </row>
    <row r="12" spans="1:11" x14ac:dyDescent="0.25">
      <c r="A12">
        <v>9</v>
      </c>
      <c r="B12" t="s">
        <v>468</v>
      </c>
      <c r="C12" t="s">
        <v>23</v>
      </c>
      <c r="D12">
        <v>38236</v>
      </c>
      <c r="E12">
        <v>431</v>
      </c>
      <c r="F12">
        <v>88.71</v>
      </c>
      <c r="G12">
        <v>60.03</v>
      </c>
      <c r="H12">
        <v>2.91</v>
      </c>
      <c r="I12">
        <v>11</v>
      </c>
      <c r="J12">
        <v>2</v>
      </c>
      <c r="K12" t="s">
        <v>570</v>
      </c>
    </row>
    <row r="13" spans="1:11" x14ac:dyDescent="0.25">
      <c r="A13">
        <v>14</v>
      </c>
      <c r="B13" t="s">
        <v>482</v>
      </c>
      <c r="C13" t="s">
        <v>14</v>
      </c>
      <c r="D13">
        <v>37518</v>
      </c>
      <c r="E13">
        <v>629</v>
      </c>
      <c r="F13">
        <v>59.65</v>
      </c>
      <c r="G13">
        <v>58.9</v>
      </c>
      <c r="H13">
        <v>2.85</v>
      </c>
      <c r="I13">
        <v>12</v>
      </c>
      <c r="J13">
        <v>2</v>
      </c>
      <c r="K13" t="s">
        <v>570</v>
      </c>
    </row>
    <row r="14" spans="1:11" x14ac:dyDescent="0.25">
      <c r="A14">
        <v>21</v>
      </c>
      <c r="B14" t="s">
        <v>476</v>
      </c>
      <c r="C14" t="s">
        <v>28</v>
      </c>
      <c r="D14">
        <v>33604</v>
      </c>
      <c r="E14">
        <v>528</v>
      </c>
      <c r="F14">
        <v>63.64</v>
      </c>
      <c r="G14">
        <v>52.75</v>
      </c>
      <c r="H14">
        <v>2.3199999999999998</v>
      </c>
      <c r="I14">
        <v>13</v>
      </c>
      <c r="J14">
        <v>2</v>
      </c>
      <c r="K14" t="s">
        <v>570</v>
      </c>
    </row>
    <row r="15" spans="1:11" x14ac:dyDescent="0.25">
      <c r="A15">
        <v>7</v>
      </c>
      <c r="B15" t="s">
        <v>528</v>
      </c>
      <c r="C15" t="s">
        <v>28</v>
      </c>
      <c r="D15">
        <v>31588</v>
      </c>
      <c r="E15">
        <v>625</v>
      </c>
      <c r="F15">
        <v>50.54</v>
      </c>
      <c r="G15">
        <v>49.59</v>
      </c>
      <c r="H15">
        <v>3.5</v>
      </c>
      <c r="I15">
        <v>14</v>
      </c>
      <c r="J15">
        <v>2</v>
      </c>
      <c r="K15" t="s">
        <v>570</v>
      </c>
    </row>
    <row r="16" spans="1:11" x14ac:dyDescent="0.25">
      <c r="A16">
        <v>10</v>
      </c>
      <c r="B16" t="s">
        <v>534</v>
      </c>
      <c r="C16" t="s">
        <v>23</v>
      </c>
      <c r="D16">
        <v>29012</v>
      </c>
      <c r="E16">
        <v>617</v>
      </c>
      <c r="F16">
        <v>47.02</v>
      </c>
      <c r="G16">
        <v>45.54</v>
      </c>
      <c r="H16">
        <v>3.01</v>
      </c>
      <c r="I16">
        <v>15</v>
      </c>
      <c r="J16">
        <v>3</v>
      </c>
      <c r="K16" t="s">
        <v>570</v>
      </c>
    </row>
    <row r="17" spans="1:11" x14ac:dyDescent="0.25">
      <c r="A17">
        <v>24</v>
      </c>
      <c r="B17" t="s">
        <v>524</v>
      </c>
      <c r="C17" t="s">
        <v>28</v>
      </c>
      <c r="D17">
        <v>26543</v>
      </c>
      <c r="E17">
        <v>591</v>
      </c>
      <c r="F17">
        <v>44.91</v>
      </c>
      <c r="G17">
        <v>41.67</v>
      </c>
      <c r="H17">
        <v>3.67</v>
      </c>
      <c r="I17">
        <v>16</v>
      </c>
      <c r="J17">
        <v>3</v>
      </c>
      <c r="K17" t="s">
        <v>570</v>
      </c>
    </row>
    <row r="18" spans="1:11" x14ac:dyDescent="0.25">
      <c r="A18">
        <v>17</v>
      </c>
      <c r="B18" t="s">
        <v>531</v>
      </c>
      <c r="C18" t="s">
        <v>25</v>
      </c>
      <c r="D18">
        <v>24433</v>
      </c>
      <c r="E18">
        <v>604</v>
      </c>
      <c r="F18">
        <v>40.450000000000003</v>
      </c>
      <c r="G18">
        <v>38.36</v>
      </c>
      <c r="H18">
        <v>3.38</v>
      </c>
      <c r="I18">
        <v>17</v>
      </c>
      <c r="J18">
        <v>3</v>
      </c>
      <c r="K18" t="s">
        <v>570</v>
      </c>
    </row>
    <row r="19" spans="1:11" x14ac:dyDescent="0.25">
      <c r="A19">
        <v>27</v>
      </c>
      <c r="B19" t="s">
        <v>526</v>
      </c>
      <c r="C19" t="s">
        <v>25</v>
      </c>
      <c r="D19">
        <v>23128</v>
      </c>
      <c r="E19">
        <v>602</v>
      </c>
      <c r="F19">
        <v>38.42</v>
      </c>
      <c r="G19">
        <v>36.31</v>
      </c>
      <c r="H19">
        <v>0.8</v>
      </c>
      <c r="I19">
        <v>18</v>
      </c>
      <c r="J19">
        <v>3</v>
      </c>
      <c r="K19" t="s">
        <v>570</v>
      </c>
    </row>
    <row r="20" spans="1:11" x14ac:dyDescent="0.25">
      <c r="A20">
        <v>15</v>
      </c>
      <c r="B20" t="s">
        <v>471</v>
      </c>
      <c r="C20" t="s">
        <v>23</v>
      </c>
      <c r="D20">
        <v>22659</v>
      </c>
      <c r="E20">
        <v>564</v>
      </c>
      <c r="F20">
        <v>40.18</v>
      </c>
      <c r="G20">
        <v>35.57</v>
      </c>
      <c r="H20">
        <v>0.94</v>
      </c>
      <c r="I20">
        <v>19</v>
      </c>
      <c r="J20">
        <v>3</v>
      </c>
      <c r="K20" t="s">
        <v>570</v>
      </c>
    </row>
    <row r="21" spans="1:11" x14ac:dyDescent="0.25">
      <c r="A21">
        <v>13</v>
      </c>
      <c r="B21" t="s">
        <v>481</v>
      </c>
      <c r="C21" t="s">
        <v>17</v>
      </c>
      <c r="D21">
        <v>17958</v>
      </c>
      <c r="E21">
        <v>429</v>
      </c>
      <c r="F21">
        <v>41.86</v>
      </c>
      <c r="G21">
        <v>28.19</v>
      </c>
      <c r="H21">
        <v>2.61</v>
      </c>
      <c r="I21">
        <v>20</v>
      </c>
      <c r="J21">
        <v>3</v>
      </c>
      <c r="K21" t="s">
        <v>570</v>
      </c>
    </row>
    <row r="22" spans="1:11" x14ac:dyDescent="0.25">
      <c r="A22">
        <v>16</v>
      </c>
      <c r="B22" t="s">
        <v>513</v>
      </c>
      <c r="C22" t="s">
        <v>14</v>
      </c>
      <c r="D22">
        <v>13054</v>
      </c>
      <c r="E22">
        <v>445</v>
      </c>
      <c r="F22">
        <v>29.33</v>
      </c>
      <c r="G22">
        <v>20.49</v>
      </c>
      <c r="H22">
        <v>0.9</v>
      </c>
      <c r="I22">
        <v>21</v>
      </c>
      <c r="J22">
        <v>3</v>
      </c>
      <c r="K22" t="s">
        <v>570</v>
      </c>
    </row>
    <row r="23" spans="1:11" x14ac:dyDescent="0.25">
      <c r="A23">
        <v>11</v>
      </c>
      <c r="B23" t="s">
        <v>469</v>
      </c>
      <c r="C23" t="s">
        <v>25</v>
      </c>
      <c r="D23">
        <v>12168</v>
      </c>
      <c r="E23">
        <v>308</v>
      </c>
      <c r="F23">
        <v>39.51</v>
      </c>
      <c r="G23">
        <v>19.100000000000001</v>
      </c>
      <c r="H23">
        <v>1.77</v>
      </c>
      <c r="I23">
        <v>22</v>
      </c>
      <c r="J23">
        <v>4</v>
      </c>
      <c r="K23" t="s">
        <v>570</v>
      </c>
    </row>
    <row r="24" spans="1:11" x14ac:dyDescent="0.25">
      <c r="A24">
        <v>34</v>
      </c>
      <c r="B24" t="s">
        <v>467</v>
      </c>
      <c r="C24" t="s">
        <v>17</v>
      </c>
      <c r="D24">
        <v>11749</v>
      </c>
      <c r="E24">
        <v>517</v>
      </c>
      <c r="F24">
        <v>22.73</v>
      </c>
      <c r="G24">
        <v>18.440000000000001</v>
      </c>
      <c r="H24">
        <v>2.11</v>
      </c>
      <c r="I24">
        <v>23</v>
      </c>
      <c r="J24">
        <v>4</v>
      </c>
      <c r="K24" t="s">
        <v>570</v>
      </c>
    </row>
    <row r="25" spans="1:11" x14ac:dyDescent="0.25">
      <c r="A25">
        <v>23</v>
      </c>
      <c r="B25" t="s">
        <v>506</v>
      </c>
      <c r="C25" t="s">
        <v>23</v>
      </c>
      <c r="D25">
        <v>8605</v>
      </c>
      <c r="E25">
        <v>320</v>
      </c>
      <c r="F25">
        <v>26.89</v>
      </c>
      <c r="G25">
        <v>13.51</v>
      </c>
      <c r="H25">
        <v>0.6</v>
      </c>
      <c r="I25">
        <v>24</v>
      </c>
      <c r="J25">
        <v>4</v>
      </c>
      <c r="K25" t="s">
        <v>570</v>
      </c>
    </row>
    <row r="26" spans="1:11" x14ac:dyDescent="0.25">
      <c r="A26">
        <v>12</v>
      </c>
      <c r="B26" t="s">
        <v>475</v>
      </c>
      <c r="C26" t="s">
        <v>28</v>
      </c>
      <c r="D26">
        <v>7620</v>
      </c>
      <c r="E26">
        <v>196</v>
      </c>
      <c r="F26">
        <v>38.880000000000003</v>
      </c>
      <c r="G26">
        <v>11.96</v>
      </c>
      <c r="H26">
        <v>0.63</v>
      </c>
      <c r="I26">
        <v>25</v>
      </c>
      <c r="J26">
        <v>4</v>
      </c>
      <c r="K26" t="s">
        <v>570</v>
      </c>
    </row>
    <row r="27" spans="1:11" x14ac:dyDescent="0.25">
      <c r="A27">
        <v>32</v>
      </c>
      <c r="B27" t="s">
        <v>507</v>
      </c>
      <c r="C27" t="s">
        <v>28</v>
      </c>
      <c r="D27">
        <v>6793</v>
      </c>
      <c r="E27">
        <v>358</v>
      </c>
      <c r="F27">
        <v>18.97</v>
      </c>
      <c r="G27">
        <v>10.66</v>
      </c>
      <c r="H27">
        <v>0.7</v>
      </c>
      <c r="I27">
        <v>26</v>
      </c>
      <c r="J27">
        <v>4</v>
      </c>
      <c r="K27" t="s">
        <v>570</v>
      </c>
    </row>
    <row r="28" spans="1:11" x14ac:dyDescent="0.25">
      <c r="A28">
        <v>33</v>
      </c>
      <c r="B28" t="s">
        <v>490</v>
      </c>
      <c r="C28" t="s">
        <v>23</v>
      </c>
      <c r="D28">
        <v>6416</v>
      </c>
      <c r="E28">
        <v>387</v>
      </c>
      <c r="F28">
        <v>16.579999999999998</v>
      </c>
      <c r="G28">
        <v>10.07</v>
      </c>
      <c r="H28">
        <v>0.57999999999999996</v>
      </c>
      <c r="I28">
        <v>27</v>
      </c>
      <c r="J28">
        <v>4</v>
      </c>
      <c r="K28" t="s">
        <v>570</v>
      </c>
    </row>
    <row r="29" spans="1:11" x14ac:dyDescent="0.25">
      <c r="A29">
        <v>26</v>
      </c>
      <c r="B29" t="s">
        <v>519</v>
      </c>
      <c r="C29" t="s">
        <v>25</v>
      </c>
      <c r="D29">
        <v>6298</v>
      </c>
      <c r="E29">
        <v>348</v>
      </c>
      <c r="F29">
        <v>18.100000000000001</v>
      </c>
      <c r="G29">
        <v>9.89</v>
      </c>
      <c r="H29">
        <v>1.0900000000000001</v>
      </c>
      <c r="I29">
        <v>28</v>
      </c>
      <c r="J29">
        <v>4</v>
      </c>
      <c r="K29" t="s">
        <v>570</v>
      </c>
    </row>
    <row r="30" spans="1:11" x14ac:dyDescent="0.25">
      <c r="A30">
        <v>29</v>
      </c>
      <c r="B30" t="s">
        <v>472</v>
      </c>
      <c r="C30" t="s">
        <v>23</v>
      </c>
      <c r="D30">
        <v>5488</v>
      </c>
      <c r="E30">
        <v>325</v>
      </c>
      <c r="F30">
        <v>16.89</v>
      </c>
      <c r="G30">
        <v>8.6199999999999992</v>
      </c>
      <c r="H30">
        <v>0.76</v>
      </c>
      <c r="I30">
        <v>29</v>
      </c>
      <c r="J30">
        <v>5</v>
      </c>
      <c r="K30" t="s">
        <v>571</v>
      </c>
    </row>
    <row r="31" spans="1:11" x14ac:dyDescent="0.25">
      <c r="A31">
        <v>5</v>
      </c>
      <c r="B31" t="s">
        <v>464</v>
      </c>
      <c r="C31" t="s">
        <v>14</v>
      </c>
      <c r="D31">
        <v>4471</v>
      </c>
      <c r="E31">
        <v>323</v>
      </c>
      <c r="F31">
        <v>13.84</v>
      </c>
      <c r="G31">
        <v>7.02</v>
      </c>
      <c r="H31">
        <v>0.31</v>
      </c>
      <c r="I31">
        <v>30</v>
      </c>
      <c r="J31">
        <v>5</v>
      </c>
      <c r="K31" t="s">
        <v>571</v>
      </c>
    </row>
    <row r="32" spans="1:11" x14ac:dyDescent="0.25">
      <c r="A32">
        <v>28</v>
      </c>
      <c r="B32" t="s">
        <v>477</v>
      </c>
      <c r="C32" t="s">
        <v>25</v>
      </c>
      <c r="D32">
        <v>4158</v>
      </c>
      <c r="E32">
        <v>45</v>
      </c>
      <c r="F32">
        <v>92.4</v>
      </c>
      <c r="G32">
        <v>6.53</v>
      </c>
      <c r="H32">
        <v>0.32</v>
      </c>
      <c r="I32">
        <v>31</v>
      </c>
      <c r="J32">
        <v>5</v>
      </c>
      <c r="K32" t="s">
        <v>571</v>
      </c>
    </row>
    <row r="33" spans="1:11" x14ac:dyDescent="0.25">
      <c r="A33">
        <v>4</v>
      </c>
      <c r="B33" t="s">
        <v>504</v>
      </c>
      <c r="C33" t="s">
        <v>14</v>
      </c>
      <c r="D33">
        <v>3829</v>
      </c>
      <c r="E33">
        <v>275</v>
      </c>
      <c r="F33">
        <v>13.92</v>
      </c>
      <c r="G33">
        <v>6.01</v>
      </c>
      <c r="H33">
        <v>0.34</v>
      </c>
      <c r="I33">
        <v>32</v>
      </c>
      <c r="J33">
        <v>5</v>
      </c>
      <c r="K33" t="s">
        <v>571</v>
      </c>
    </row>
    <row r="34" spans="1:11" x14ac:dyDescent="0.25">
      <c r="A34">
        <v>22</v>
      </c>
      <c r="B34" t="s">
        <v>536</v>
      </c>
      <c r="C34" t="s">
        <v>14</v>
      </c>
      <c r="D34">
        <v>3385</v>
      </c>
      <c r="E34">
        <v>222</v>
      </c>
      <c r="F34">
        <v>15.25</v>
      </c>
      <c r="G34">
        <v>5.31</v>
      </c>
      <c r="H34">
        <v>0.47</v>
      </c>
      <c r="I34">
        <v>33</v>
      </c>
      <c r="J34">
        <v>5</v>
      </c>
      <c r="K34" t="s">
        <v>571</v>
      </c>
    </row>
    <row r="35" spans="1:11" x14ac:dyDescent="0.25">
      <c r="A35">
        <v>35</v>
      </c>
      <c r="B35" t="s">
        <v>539</v>
      </c>
      <c r="C35" t="s">
        <v>14</v>
      </c>
      <c r="D35">
        <v>2710</v>
      </c>
      <c r="E35">
        <v>213</v>
      </c>
      <c r="F35">
        <v>12.72</v>
      </c>
      <c r="G35">
        <v>4.25</v>
      </c>
      <c r="H35">
        <v>0.15</v>
      </c>
      <c r="I35">
        <v>34</v>
      </c>
      <c r="J35">
        <v>5</v>
      </c>
      <c r="K35" t="s">
        <v>571</v>
      </c>
    </row>
    <row r="36" spans="1:11" x14ac:dyDescent="0.25">
      <c r="A36">
        <v>20</v>
      </c>
      <c r="B36" t="s">
        <v>533</v>
      </c>
      <c r="C36" t="s">
        <v>28</v>
      </c>
      <c r="D36">
        <v>2647</v>
      </c>
      <c r="E36">
        <v>212</v>
      </c>
      <c r="F36">
        <v>12.49</v>
      </c>
      <c r="G36">
        <v>4.16</v>
      </c>
      <c r="H36">
        <v>0.46</v>
      </c>
      <c r="I36">
        <v>35</v>
      </c>
      <c r="J36">
        <v>5</v>
      </c>
      <c r="K36" t="s">
        <v>571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72AD8-9578-4FCD-A603-C97071AD8F63}">
  <dimension ref="A1:O36"/>
  <sheetViews>
    <sheetView workbookViewId="0">
      <selection activeCell="C12" sqref="C12"/>
    </sheetView>
  </sheetViews>
  <sheetFormatPr defaultRowHeight="15" x14ac:dyDescent="0.25"/>
  <cols>
    <col min="1" max="1" width="19.5703125" bestFit="1" customWidth="1"/>
    <col min="2" max="2" width="13.140625" bestFit="1" customWidth="1"/>
    <col min="3" max="3" width="22" bestFit="1" customWidth="1"/>
    <col min="4" max="4" width="19.7109375" bestFit="1" customWidth="1"/>
    <col min="5" max="5" width="17.7109375" bestFit="1" customWidth="1"/>
    <col min="6" max="6" width="15.85546875" bestFit="1" customWidth="1"/>
    <col min="7" max="7" width="19.140625" bestFit="1" customWidth="1"/>
    <col min="8" max="8" width="23" bestFit="1" customWidth="1"/>
    <col min="9" max="9" width="22.42578125" bestFit="1" customWidth="1"/>
    <col min="10" max="10" width="17.42578125" bestFit="1" customWidth="1"/>
    <col min="11" max="11" width="15.5703125" bestFit="1" customWidth="1"/>
    <col min="12" max="12" width="18.85546875" bestFit="1" customWidth="1"/>
    <col min="13" max="13" width="14.140625" bestFit="1" customWidth="1"/>
    <col min="14" max="14" width="14.5703125" bestFit="1" customWidth="1"/>
    <col min="15" max="15" width="21.140625" bestFit="1" customWidth="1"/>
  </cols>
  <sheetData>
    <row r="1" spans="1:15" x14ac:dyDescent="0.25">
      <c r="A1" t="s">
        <v>451</v>
      </c>
      <c r="B1" t="s">
        <v>551</v>
      </c>
      <c r="C1" t="s">
        <v>552</v>
      </c>
      <c r="D1" t="s">
        <v>6</v>
      </c>
      <c r="E1" t="s">
        <v>7</v>
      </c>
      <c r="F1" t="s">
        <v>8</v>
      </c>
      <c r="G1" t="s">
        <v>10</v>
      </c>
      <c r="H1" t="s">
        <v>11</v>
      </c>
      <c r="I1" t="s">
        <v>553</v>
      </c>
      <c r="J1" t="s">
        <v>554</v>
      </c>
      <c r="K1" t="s">
        <v>555</v>
      </c>
      <c r="L1" t="s">
        <v>556</v>
      </c>
      <c r="M1" t="s">
        <v>557</v>
      </c>
      <c r="N1" t="s">
        <v>558</v>
      </c>
      <c r="O1" t="s">
        <v>559</v>
      </c>
    </row>
    <row r="2" spans="1:15" x14ac:dyDescent="0.25">
      <c r="A2" t="s">
        <v>23</v>
      </c>
      <c r="B2">
        <v>18</v>
      </c>
      <c r="C2" t="s">
        <v>532</v>
      </c>
      <c r="D2">
        <v>48030</v>
      </c>
      <c r="E2">
        <v>59737</v>
      </c>
      <c r="F2">
        <v>2388882.63</v>
      </c>
      <c r="G2">
        <v>298685</v>
      </c>
      <c r="H2">
        <v>12.5</v>
      </c>
      <c r="I2">
        <v>16.54</v>
      </c>
      <c r="J2">
        <v>7</v>
      </c>
      <c r="K2">
        <v>1</v>
      </c>
      <c r="L2">
        <v>3</v>
      </c>
      <c r="M2">
        <v>31</v>
      </c>
      <c r="N2">
        <v>1</v>
      </c>
      <c r="O2" t="s">
        <v>560</v>
      </c>
    </row>
    <row r="3" spans="1:15" x14ac:dyDescent="0.25">
      <c r="A3" t="s">
        <v>17</v>
      </c>
      <c r="B3">
        <v>6</v>
      </c>
      <c r="C3" t="s">
        <v>527</v>
      </c>
      <c r="D3">
        <v>72988</v>
      </c>
      <c r="E3">
        <v>104368</v>
      </c>
      <c r="F3">
        <v>1564476.32</v>
      </c>
      <c r="G3">
        <v>834944</v>
      </c>
      <c r="H3">
        <v>53.36</v>
      </c>
      <c r="I3">
        <v>10.83</v>
      </c>
      <c r="J3">
        <v>1</v>
      </c>
      <c r="K3">
        <v>2</v>
      </c>
      <c r="L3">
        <v>1</v>
      </c>
      <c r="M3">
        <v>5</v>
      </c>
      <c r="N3">
        <v>1</v>
      </c>
      <c r="O3" t="s">
        <v>560</v>
      </c>
    </row>
    <row r="4" spans="1:15" x14ac:dyDescent="0.25">
      <c r="A4" t="s">
        <v>25</v>
      </c>
      <c r="B4">
        <v>19</v>
      </c>
      <c r="C4" t="s">
        <v>522</v>
      </c>
      <c r="D4">
        <v>39293</v>
      </c>
      <c r="E4">
        <v>60598</v>
      </c>
      <c r="F4">
        <v>968962.02</v>
      </c>
      <c r="G4">
        <v>121196</v>
      </c>
      <c r="H4">
        <v>12.5</v>
      </c>
      <c r="I4">
        <v>6.71</v>
      </c>
      <c r="J4">
        <v>5</v>
      </c>
      <c r="K4">
        <v>3</v>
      </c>
      <c r="L4">
        <v>11</v>
      </c>
      <c r="M4">
        <v>31</v>
      </c>
      <c r="N4">
        <v>1</v>
      </c>
      <c r="O4" t="s">
        <v>560</v>
      </c>
    </row>
    <row r="5" spans="1:15" x14ac:dyDescent="0.25">
      <c r="A5" t="s">
        <v>23</v>
      </c>
      <c r="B5">
        <v>1</v>
      </c>
      <c r="C5" t="s">
        <v>466</v>
      </c>
      <c r="D5">
        <v>48497</v>
      </c>
      <c r="E5">
        <v>57958</v>
      </c>
      <c r="F5">
        <v>926748.42</v>
      </c>
      <c r="G5">
        <v>347748</v>
      </c>
      <c r="H5">
        <v>37.520000000000003</v>
      </c>
      <c r="I5">
        <v>6.42</v>
      </c>
      <c r="J5">
        <v>8</v>
      </c>
      <c r="K5">
        <v>4</v>
      </c>
      <c r="L5">
        <v>2</v>
      </c>
      <c r="M5">
        <v>12</v>
      </c>
      <c r="N5">
        <v>1</v>
      </c>
      <c r="O5" t="s">
        <v>560</v>
      </c>
    </row>
    <row r="6" spans="1:15" x14ac:dyDescent="0.25">
      <c r="A6" t="s">
        <v>14</v>
      </c>
      <c r="B6">
        <v>30</v>
      </c>
      <c r="C6" t="s">
        <v>530</v>
      </c>
      <c r="D6">
        <v>38703</v>
      </c>
      <c r="E6">
        <v>45672</v>
      </c>
      <c r="F6">
        <v>912983.28</v>
      </c>
      <c r="G6">
        <v>91344</v>
      </c>
      <c r="H6">
        <v>10</v>
      </c>
      <c r="I6">
        <v>6.32</v>
      </c>
      <c r="J6">
        <v>9</v>
      </c>
      <c r="K6">
        <v>5</v>
      </c>
      <c r="L6">
        <v>18</v>
      </c>
      <c r="M6">
        <v>34</v>
      </c>
      <c r="N6">
        <v>1</v>
      </c>
      <c r="O6" t="s">
        <v>560</v>
      </c>
    </row>
    <row r="7" spans="1:15" x14ac:dyDescent="0.25">
      <c r="A7" t="s">
        <v>14</v>
      </c>
      <c r="B7">
        <v>8</v>
      </c>
      <c r="C7" t="s">
        <v>529</v>
      </c>
      <c r="D7">
        <v>68083</v>
      </c>
      <c r="E7">
        <v>84034</v>
      </c>
      <c r="F7">
        <v>587397.66</v>
      </c>
      <c r="G7">
        <v>252102</v>
      </c>
      <c r="H7">
        <v>42.91</v>
      </c>
      <c r="I7">
        <v>4.07</v>
      </c>
      <c r="J7">
        <v>4</v>
      </c>
      <c r="K7">
        <v>6</v>
      </c>
      <c r="L7">
        <v>4</v>
      </c>
      <c r="M7">
        <v>11</v>
      </c>
      <c r="N7">
        <v>1</v>
      </c>
      <c r="O7" t="s">
        <v>560</v>
      </c>
    </row>
    <row r="8" spans="1:15" x14ac:dyDescent="0.25">
      <c r="A8" t="s">
        <v>28</v>
      </c>
      <c r="B8">
        <v>31</v>
      </c>
      <c r="C8" t="s">
        <v>496</v>
      </c>
      <c r="D8">
        <v>41559</v>
      </c>
      <c r="E8">
        <v>60248</v>
      </c>
      <c r="F8">
        <v>541629.52</v>
      </c>
      <c r="G8">
        <v>60248</v>
      </c>
      <c r="H8">
        <v>11.12</v>
      </c>
      <c r="I8">
        <v>3.75</v>
      </c>
      <c r="J8">
        <v>6</v>
      </c>
      <c r="K8">
        <v>7</v>
      </c>
      <c r="L8">
        <v>20</v>
      </c>
      <c r="M8">
        <v>33</v>
      </c>
      <c r="N8">
        <v>1</v>
      </c>
      <c r="O8" t="s">
        <v>560</v>
      </c>
    </row>
    <row r="9" spans="1:15" x14ac:dyDescent="0.25">
      <c r="A9" t="s">
        <v>28</v>
      </c>
      <c r="B9">
        <v>24</v>
      </c>
      <c r="C9" t="s">
        <v>524</v>
      </c>
      <c r="D9">
        <v>23709</v>
      </c>
      <c r="E9">
        <v>26543</v>
      </c>
      <c r="F9">
        <v>530594.56999999995</v>
      </c>
      <c r="G9">
        <v>132715</v>
      </c>
      <c r="H9">
        <v>25.01</v>
      </c>
      <c r="I9">
        <v>3.67</v>
      </c>
      <c r="J9">
        <v>16</v>
      </c>
      <c r="K9">
        <v>8</v>
      </c>
      <c r="L9">
        <v>8</v>
      </c>
      <c r="M9">
        <v>21</v>
      </c>
      <c r="N9">
        <v>2</v>
      </c>
      <c r="O9" t="s">
        <v>561</v>
      </c>
    </row>
    <row r="10" spans="1:15" x14ac:dyDescent="0.25">
      <c r="A10" t="s">
        <v>23</v>
      </c>
      <c r="B10">
        <v>2</v>
      </c>
      <c r="C10" t="s">
        <v>462</v>
      </c>
      <c r="D10">
        <v>32250</v>
      </c>
      <c r="E10">
        <v>39089</v>
      </c>
      <c r="F10">
        <v>507766.11</v>
      </c>
      <c r="G10">
        <v>117267</v>
      </c>
      <c r="H10">
        <v>23.09</v>
      </c>
      <c r="I10">
        <v>3.52</v>
      </c>
      <c r="J10">
        <v>10</v>
      </c>
      <c r="K10">
        <v>9</v>
      </c>
      <c r="L10">
        <v>12</v>
      </c>
      <c r="M10">
        <v>23</v>
      </c>
      <c r="N10">
        <v>2</v>
      </c>
      <c r="O10" t="s">
        <v>561</v>
      </c>
    </row>
    <row r="11" spans="1:15" x14ac:dyDescent="0.25">
      <c r="A11" t="s">
        <v>28</v>
      </c>
      <c r="B11">
        <v>7</v>
      </c>
      <c r="C11" t="s">
        <v>528</v>
      </c>
      <c r="D11">
        <v>26203</v>
      </c>
      <c r="E11">
        <v>31588</v>
      </c>
      <c r="F11">
        <v>505092.12</v>
      </c>
      <c r="G11">
        <v>126352</v>
      </c>
      <c r="H11">
        <v>25.01</v>
      </c>
      <c r="I11">
        <v>3.5</v>
      </c>
      <c r="J11">
        <v>14</v>
      </c>
      <c r="K11">
        <v>10</v>
      </c>
      <c r="L11">
        <v>9</v>
      </c>
      <c r="M11">
        <v>21</v>
      </c>
      <c r="N11">
        <v>2</v>
      </c>
      <c r="O11" t="s">
        <v>561</v>
      </c>
    </row>
    <row r="12" spans="1:15" x14ac:dyDescent="0.25">
      <c r="A12" t="s">
        <v>25</v>
      </c>
      <c r="B12">
        <v>17</v>
      </c>
      <c r="C12" t="s">
        <v>531</v>
      </c>
      <c r="D12">
        <v>21648</v>
      </c>
      <c r="E12">
        <v>24433</v>
      </c>
      <c r="F12">
        <v>488415.67</v>
      </c>
      <c r="G12">
        <v>146598</v>
      </c>
      <c r="H12">
        <v>30.01</v>
      </c>
      <c r="I12">
        <v>3.38</v>
      </c>
      <c r="J12">
        <v>17</v>
      </c>
      <c r="K12">
        <v>11</v>
      </c>
      <c r="L12">
        <v>7</v>
      </c>
      <c r="M12">
        <v>16</v>
      </c>
      <c r="N12">
        <v>2</v>
      </c>
      <c r="O12" t="s">
        <v>561</v>
      </c>
    </row>
    <row r="13" spans="1:15" x14ac:dyDescent="0.25">
      <c r="A13" t="s">
        <v>23</v>
      </c>
      <c r="B13">
        <v>10</v>
      </c>
      <c r="C13" t="s">
        <v>534</v>
      </c>
      <c r="D13">
        <v>24311</v>
      </c>
      <c r="E13">
        <v>29012</v>
      </c>
      <c r="F13">
        <v>434889.88</v>
      </c>
      <c r="G13">
        <v>116048</v>
      </c>
      <c r="H13">
        <v>26.68</v>
      </c>
      <c r="I13">
        <v>3.01</v>
      </c>
      <c r="J13">
        <v>15</v>
      </c>
      <c r="K13">
        <v>12</v>
      </c>
      <c r="L13">
        <v>13</v>
      </c>
      <c r="M13">
        <v>19</v>
      </c>
      <c r="N13">
        <v>2</v>
      </c>
      <c r="O13" t="s">
        <v>561</v>
      </c>
    </row>
    <row r="14" spans="1:15" x14ac:dyDescent="0.25">
      <c r="A14" t="s">
        <v>23</v>
      </c>
      <c r="B14">
        <v>9</v>
      </c>
      <c r="C14" t="s">
        <v>468</v>
      </c>
      <c r="D14">
        <v>28181</v>
      </c>
      <c r="E14">
        <v>38236</v>
      </c>
      <c r="F14">
        <v>420213.64</v>
      </c>
      <c r="G14">
        <v>38236</v>
      </c>
      <c r="H14">
        <v>9.09</v>
      </c>
      <c r="I14">
        <v>2.91</v>
      </c>
      <c r="J14">
        <v>11</v>
      </c>
      <c r="K14">
        <v>13</v>
      </c>
      <c r="L14">
        <v>25</v>
      </c>
      <c r="M14">
        <v>35</v>
      </c>
      <c r="N14">
        <v>2</v>
      </c>
      <c r="O14" t="s">
        <v>561</v>
      </c>
    </row>
    <row r="15" spans="1:15" x14ac:dyDescent="0.25">
      <c r="A15" t="s">
        <v>14</v>
      </c>
      <c r="B15">
        <v>14</v>
      </c>
      <c r="C15" t="s">
        <v>482</v>
      </c>
      <c r="D15">
        <v>24507</v>
      </c>
      <c r="E15">
        <v>37518</v>
      </c>
      <c r="F15">
        <v>412322.82</v>
      </c>
      <c r="G15">
        <v>187590</v>
      </c>
      <c r="H15">
        <v>45.49</v>
      </c>
      <c r="I15">
        <v>2.85</v>
      </c>
      <c r="J15">
        <v>12</v>
      </c>
      <c r="K15">
        <v>14</v>
      </c>
      <c r="L15">
        <v>5</v>
      </c>
      <c r="M15">
        <v>10</v>
      </c>
      <c r="N15">
        <v>2</v>
      </c>
      <c r="O15" t="s">
        <v>561</v>
      </c>
    </row>
    <row r="16" spans="1:15" x14ac:dyDescent="0.25">
      <c r="A16" t="s">
        <v>17</v>
      </c>
      <c r="B16">
        <v>13</v>
      </c>
      <c r="C16" t="s">
        <v>481</v>
      </c>
      <c r="D16">
        <v>15543</v>
      </c>
      <c r="E16">
        <v>17958</v>
      </c>
      <c r="F16">
        <v>376938.42</v>
      </c>
      <c r="G16">
        <v>107748</v>
      </c>
      <c r="H16">
        <v>28.58</v>
      </c>
      <c r="I16">
        <v>2.61</v>
      </c>
      <c r="J16">
        <v>20</v>
      </c>
      <c r="K16">
        <v>15</v>
      </c>
      <c r="L16">
        <v>14</v>
      </c>
      <c r="M16">
        <v>18</v>
      </c>
      <c r="N16">
        <v>3</v>
      </c>
      <c r="O16" t="s">
        <v>561</v>
      </c>
    </row>
    <row r="17" spans="1:15" x14ac:dyDescent="0.25">
      <c r="A17" t="s">
        <v>25</v>
      </c>
      <c r="B17">
        <v>3</v>
      </c>
      <c r="C17" t="s">
        <v>493</v>
      </c>
      <c r="D17">
        <v>54078</v>
      </c>
      <c r="E17">
        <v>91663</v>
      </c>
      <c r="F17">
        <v>365735.37</v>
      </c>
      <c r="G17">
        <v>183326</v>
      </c>
      <c r="H17">
        <v>50.12</v>
      </c>
      <c r="I17">
        <v>2.5299999999999998</v>
      </c>
      <c r="J17">
        <v>3</v>
      </c>
      <c r="K17">
        <v>16</v>
      </c>
      <c r="L17">
        <v>6</v>
      </c>
      <c r="M17">
        <v>6</v>
      </c>
      <c r="N17">
        <v>3</v>
      </c>
      <c r="O17" t="s">
        <v>561</v>
      </c>
    </row>
    <row r="18" spans="1:15" x14ac:dyDescent="0.25">
      <c r="A18" t="s">
        <v>28</v>
      </c>
      <c r="B18">
        <v>21</v>
      </c>
      <c r="C18" t="s">
        <v>476</v>
      </c>
      <c r="D18">
        <v>24378</v>
      </c>
      <c r="E18">
        <v>33604</v>
      </c>
      <c r="F18">
        <v>335703.96</v>
      </c>
      <c r="G18">
        <v>100812</v>
      </c>
      <c r="H18">
        <v>30.03</v>
      </c>
      <c r="I18">
        <v>2.3199999999999998</v>
      </c>
      <c r="J18">
        <v>13</v>
      </c>
      <c r="K18">
        <v>17</v>
      </c>
      <c r="L18">
        <v>16</v>
      </c>
      <c r="M18">
        <v>15</v>
      </c>
      <c r="N18">
        <v>3</v>
      </c>
      <c r="O18" t="s">
        <v>561</v>
      </c>
    </row>
    <row r="19" spans="1:15" x14ac:dyDescent="0.25">
      <c r="A19" t="s">
        <v>25</v>
      </c>
      <c r="B19">
        <v>25</v>
      </c>
      <c r="C19" t="s">
        <v>525</v>
      </c>
      <c r="D19">
        <v>64834</v>
      </c>
      <c r="E19">
        <v>103128</v>
      </c>
      <c r="F19">
        <v>308352.71999999997</v>
      </c>
      <c r="G19">
        <v>103128</v>
      </c>
      <c r="H19">
        <v>33.44</v>
      </c>
      <c r="I19">
        <v>2.13</v>
      </c>
      <c r="J19">
        <v>2</v>
      </c>
      <c r="K19">
        <v>18</v>
      </c>
      <c r="L19">
        <v>15</v>
      </c>
      <c r="M19">
        <v>13</v>
      </c>
      <c r="N19">
        <v>3</v>
      </c>
      <c r="O19" t="s">
        <v>561</v>
      </c>
    </row>
    <row r="20" spans="1:15" x14ac:dyDescent="0.25">
      <c r="A20" t="s">
        <v>17</v>
      </c>
      <c r="B20">
        <v>34</v>
      </c>
      <c r="C20" t="s">
        <v>467</v>
      </c>
      <c r="D20">
        <v>10494</v>
      </c>
      <c r="E20">
        <v>11749</v>
      </c>
      <c r="F20">
        <v>305356.51</v>
      </c>
      <c r="G20">
        <v>58745</v>
      </c>
      <c r="H20">
        <v>19.23</v>
      </c>
      <c r="I20">
        <v>2.11</v>
      </c>
      <c r="J20">
        <v>23</v>
      </c>
      <c r="K20">
        <v>19</v>
      </c>
      <c r="L20">
        <v>21</v>
      </c>
      <c r="M20">
        <v>28</v>
      </c>
      <c r="N20">
        <v>3</v>
      </c>
      <c r="O20" t="s">
        <v>561</v>
      </c>
    </row>
    <row r="21" spans="1:15" x14ac:dyDescent="0.25">
      <c r="A21" t="s">
        <v>25</v>
      </c>
      <c r="B21">
        <v>11</v>
      </c>
      <c r="C21" t="s">
        <v>469</v>
      </c>
      <c r="D21">
        <v>11205</v>
      </c>
      <c r="E21">
        <v>12168</v>
      </c>
      <c r="F21">
        <v>255406.32</v>
      </c>
      <c r="G21">
        <v>121680</v>
      </c>
      <c r="H21">
        <v>47.64</v>
      </c>
      <c r="I21">
        <v>1.77</v>
      </c>
      <c r="J21">
        <v>22</v>
      </c>
      <c r="K21">
        <v>20</v>
      </c>
      <c r="L21">
        <v>10</v>
      </c>
      <c r="M21">
        <v>9</v>
      </c>
      <c r="N21">
        <v>3</v>
      </c>
      <c r="O21" t="s">
        <v>561</v>
      </c>
    </row>
    <row r="22" spans="1:15" x14ac:dyDescent="0.25">
      <c r="A22" t="s">
        <v>25</v>
      </c>
      <c r="B22">
        <v>26</v>
      </c>
      <c r="C22" t="s">
        <v>519</v>
      </c>
      <c r="D22">
        <v>6067</v>
      </c>
      <c r="E22">
        <v>6298</v>
      </c>
      <c r="F22">
        <v>157387.01999999999</v>
      </c>
      <c r="G22">
        <v>25192</v>
      </c>
      <c r="H22">
        <v>16</v>
      </c>
      <c r="I22">
        <v>1.0900000000000001</v>
      </c>
      <c r="J22">
        <v>28</v>
      </c>
      <c r="K22">
        <v>21</v>
      </c>
      <c r="L22">
        <v>27</v>
      </c>
      <c r="M22">
        <v>29</v>
      </c>
      <c r="N22">
        <v>3</v>
      </c>
      <c r="O22" t="s">
        <v>561</v>
      </c>
    </row>
    <row r="23" spans="1:15" x14ac:dyDescent="0.25">
      <c r="A23" t="s">
        <v>23</v>
      </c>
      <c r="B23">
        <v>15</v>
      </c>
      <c r="C23" t="s">
        <v>471</v>
      </c>
      <c r="D23">
        <v>20776</v>
      </c>
      <c r="E23">
        <v>22659</v>
      </c>
      <c r="F23">
        <v>135727.41</v>
      </c>
      <c r="G23">
        <v>45318</v>
      </c>
      <c r="H23">
        <v>33.380000000000003</v>
      </c>
      <c r="I23">
        <v>0.94</v>
      </c>
      <c r="J23">
        <v>19</v>
      </c>
      <c r="K23">
        <v>22</v>
      </c>
      <c r="L23">
        <v>22</v>
      </c>
      <c r="M23">
        <v>14</v>
      </c>
      <c r="N23">
        <v>4</v>
      </c>
      <c r="O23" t="s">
        <v>561</v>
      </c>
    </row>
    <row r="24" spans="1:15" x14ac:dyDescent="0.25">
      <c r="A24" t="s">
        <v>14</v>
      </c>
      <c r="B24">
        <v>16</v>
      </c>
      <c r="C24" t="s">
        <v>513</v>
      </c>
      <c r="D24">
        <v>12143</v>
      </c>
      <c r="E24">
        <v>13054</v>
      </c>
      <c r="F24">
        <v>130409.46</v>
      </c>
      <c r="G24">
        <v>91378</v>
      </c>
      <c r="H24">
        <v>70.069999999999993</v>
      </c>
      <c r="I24">
        <v>0.9</v>
      </c>
      <c r="J24">
        <v>21</v>
      </c>
      <c r="K24">
        <v>23</v>
      </c>
      <c r="L24">
        <v>17</v>
      </c>
      <c r="M24">
        <v>1</v>
      </c>
      <c r="N24">
        <v>4</v>
      </c>
      <c r="O24" t="s">
        <v>561</v>
      </c>
    </row>
    <row r="25" spans="1:15" x14ac:dyDescent="0.25">
      <c r="A25" t="s">
        <v>25</v>
      </c>
      <c r="B25">
        <v>27</v>
      </c>
      <c r="C25" t="s">
        <v>526</v>
      </c>
      <c r="D25">
        <v>20736</v>
      </c>
      <c r="E25">
        <v>23128</v>
      </c>
      <c r="F25">
        <v>115408.72</v>
      </c>
      <c r="G25">
        <v>23128</v>
      </c>
      <c r="H25">
        <v>20.04</v>
      </c>
      <c r="I25">
        <v>0.8</v>
      </c>
      <c r="J25">
        <v>18</v>
      </c>
      <c r="K25">
        <v>24</v>
      </c>
      <c r="L25">
        <v>28</v>
      </c>
      <c r="M25">
        <v>25</v>
      </c>
      <c r="N25">
        <v>4</v>
      </c>
      <c r="O25" t="s">
        <v>561</v>
      </c>
    </row>
    <row r="26" spans="1:15" x14ac:dyDescent="0.25">
      <c r="A26" t="s">
        <v>23</v>
      </c>
      <c r="B26">
        <v>29</v>
      </c>
      <c r="C26" t="s">
        <v>472</v>
      </c>
      <c r="D26">
        <v>5328</v>
      </c>
      <c r="E26">
        <v>5488</v>
      </c>
      <c r="F26">
        <v>109705.12</v>
      </c>
      <c r="G26">
        <v>60368</v>
      </c>
      <c r="H26">
        <v>55.02</v>
      </c>
      <c r="I26">
        <v>0.76</v>
      </c>
      <c r="J26">
        <v>29</v>
      </c>
      <c r="K26">
        <v>25</v>
      </c>
      <c r="L26">
        <v>19</v>
      </c>
      <c r="M26">
        <v>4</v>
      </c>
      <c r="N26">
        <v>4</v>
      </c>
      <c r="O26" t="s">
        <v>561</v>
      </c>
    </row>
    <row r="27" spans="1:15" x14ac:dyDescent="0.25">
      <c r="A27" t="s">
        <v>28</v>
      </c>
      <c r="B27">
        <v>32</v>
      </c>
      <c r="C27" t="s">
        <v>507</v>
      </c>
      <c r="D27">
        <v>6088</v>
      </c>
      <c r="E27">
        <v>6793</v>
      </c>
      <c r="F27">
        <v>101827.07</v>
      </c>
      <c r="G27">
        <v>20379</v>
      </c>
      <c r="H27">
        <v>20.010000000000002</v>
      </c>
      <c r="I27">
        <v>0.7</v>
      </c>
      <c r="J27">
        <v>26</v>
      </c>
      <c r="K27">
        <v>26</v>
      </c>
      <c r="L27">
        <v>30</v>
      </c>
      <c r="M27">
        <v>27</v>
      </c>
      <c r="N27">
        <v>4</v>
      </c>
      <c r="O27" t="s">
        <v>561</v>
      </c>
    </row>
    <row r="28" spans="1:15" x14ac:dyDescent="0.25">
      <c r="A28" t="s">
        <v>28</v>
      </c>
      <c r="B28">
        <v>12</v>
      </c>
      <c r="C28" t="s">
        <v>475</v>
      </c>
      <c r="D28">
        <v>6812</v>
      </c>
      <c r="E28">
        <v>7620</v>
      </c>
      <c r="F28">
        <v>91363.8</v>
      </c>
      <c r="G28">
        <v>22860</v>
      </c>
      <c r="H28">
        <v>25.02</v>
      </c>
      <c r="I28">
        <v>0.63</v>
      </c>
      <c r="J28">
        <v>25</v>
      </c>
      <c r="K28">
        <v>27</v>
      </c>
      <c r="L28">
        <v>29</v>
      </c>
      <c r="M28">
        <v>20</v>
      </c>
      <c r="N28">
        <v>4</v>
      </c>
      <c r="O28" t="s">
        <v>561</v>
      </c>
    </row>
    <row r="29" spans="1:15" x14ac:dyDescent="0.25">
      <c r="A29" t="s">
        <v>23</v>
      </c>
      <c r="B29">
        <v>23</v>
      </c>
      <c r="C29" t="s">
        <v>506</v>
      </c>
      <c r="D29">
        <v>7820</v>
      </c>
      <c r="E29">
        <v>8605</v>
      </c>
      <c r="F29">
        <v>85963.95</v>
      </c>
      <c r="G29">
        <v>43025</v>
      </c>
      <c r="H29">
        <v>50.05</v>
      </c>
      <c r="I29">
        <v>0.6</v>
      </c>
      <c r="J29">
        <v>24</v>
      </c>
      <c r="K29">
        <v>28</v>
      </c>
      <c r="L29">
        <v>23</v>
      </c>
      <c r="M29">
        <v>8</v>
      </c>
      <c r="N29">
        <v>4</v>
      </c>
      <c r="O29" t="s">
        <v>561</v>
      </c>
    </row>
    <row r="30" spans="1:15" x14ac:dyDescent="0.25">
      <c r="A30" t="s">
        <v>23</v>
      </c>
      <c r="B30">
        <v>33</v>
      </c>
      <c r="C30" t="s">
        <v>490</v>
      </c>
      <c r="D30">
        <v>6034</v>
      </c>
      <c r="E30">
        <v>6416</v>
      </c>
      <c r="F30">
        <v>83343.839999999997</v>
      </c>
      <c r="G30">
        <v>12832</v>
      </c>
      <c r="H30">
        <v>15.39</v>
      </c>
      <c r="I30">
        <v>0.57999999999999996</v>
      </c>
      <c r="J30">
        <v>27</v>
      </c>
      <c r="K30">
        <v>29</v>
      </c>
      <c r="L30">
        <v>32</v>
      </c>
      <c r="M30">
        <v>30</v>
      </c>
      <c r="N30">
        <v>5</v>
      </c>
      <c r="O30" t="s">
        <v>562</v>
      </c>
    </row>
    <row r="31" spans="1:15" x14ac:dyDescent="0.25">
      <c r="A31" t="s">
        <v>14</v>
      </c>
      <c r="B31">
        <v>22</v>
      </c>
      <c r="C31" t="s">
        <v>536</v>
      </c>
      <c r="D31">
        <v>3002</v>
      </c>
      <c r="E31">
        <v>3385</v>
      </c>
      <c r="F31">
        <v>67666.149999999994</v>
      </c>
      <c r="G31">
        <v>20310</v>
      </c>
      <c r="H31">
        <v>30.01</v>
      </c>
      <c r="I31">
        <v>0.47</v>
      </c>
      <c r="J31">
        <v>33</v>
      </c>
      <c r="K31">
        <v>30</v>
      </c>
      <c r="L31">
        <v>31</v>
      </c>
      <c r="M31">
        <v>16</v>
      </c>
      <c r="N31">
        <v>5</v>
      </c>
      <c r="O31" t="s">
        <v>562</v>
      </c>
    </row>
    <row r="32" spans="1:15" x14ac:dyDescent="0.25">
      <c r="A32" t="s">
        <v>28</v>
      </c>
      <c r="B32">
        <v>20</v>
      </c>
      <c r="C32" t="s">
        <v>533</v>
      </c>
      <c r="D32">
        <v>2582</v>
      </c>
      <c r="E32">
        <v>2647</v>
      </c>
      <c r="F32">
        <v>66148.53</v>
      </c>
      <c r="G32">
        <v>42352</v>
      </c>
      <c r="H32">
        <v>64.02</v>
      </c>
      <c r="I32">
        <v>0.46</v>
      </c>
      <c r="J32">
        <v>35</v>
      </c>
      <c r="K32">
        <v>31</v>
      </c>
      <c r="L32">
        <v>24</v>
      </c>
      <c r="M32">
        <v>2</v>
      </c>
      <c r="N32">
        <v>5</v>
      </c>
      <c r="O32" t="s">
        <v>562</v>
      </c>
    </row>
    <row r="33" spans="1:15" x14ac:dyDescent="0.25">
      <c r="A33" t="s">
        <v>14</v>
      </c>
      <c r="B33">
        <v>4</v>
      </c>
      <c r="C33" t="s">
        <v>504</v>
      </c>
      <c r="D33">
        <v>3700</v>
      </c>
      <c r="E33">
        <v>3829</v>
      </c>
      <c r="F33">
        <v>49738.71</v>
      </c>
      <c r="G33">
        <v>11487</v>
      </c>
      <c r="H33">
        <v>23.09</v>
      </c>
      <c r="I33">
        <v>0.34</v>
      </c>
      <c r="J33">
        <v>32</v>
      </c>
      <c r="K33">
        <v>32</v>
      </c>
      <c r="L33">
        <v>33</v>
      </c>
      <c r="M33">
        <v>23</v>
      </c>
      <c r="N33">
        <v>5</v>
      </c>
      <c r="O33" t="s">
        <v>562</v>
      </c>
    </row>
    <row r="34" spans="1:15" x14ac:dyDescent="0.25">
      <c r="A34" t="s">
        <v>25</v>
      </c>
      <c r="B34">
        <v>28</v>
      </c>
      <c r="C34" t="s">
        <v>477</v>
      </c>
      <c r="D34">
        <v>2812</v>
      </c>
      <c r="E34">
        <v>4158</v>
      </c>
      <c r="F34">
        <v>45696.42</v>
      </c>
      <c r="G34">
        <v>29106</v>
      </c>
      <c r="H34">
        <v>63.69</v>
      </c>
      <c r="I34">
        <v>0.32</v>
      </c>
      <c r="J34">
        <v>31</v>
      </c>
      <c r="K34">
        <v>33</v>
      </c>
      <c r="L34">
        <v>26</v>
      </c>
      <c r="M34">
        <v>3</v>
      </c>
      <c r="N34">
        <v>5</v>
      </c>
      <c r="O34" t="s">
        <v>562</v>
      </c>
    </row>
    <row r="35" spans="1:15" x14ac:dyDescent="0.25">
      <c r="A35" t="s">
        <v>14</v>
      </c>
      <c r="B35">
        <v>5</v>
      </c>
      <c r="C35" t="s">
        <v>464</v>
      </c>
      <c r="D35">
        <v>4269</v>
      </c>
      <c r="E35">
        <v>4471</v>
      </c>
      <c r="F35">
        <v>44665.29</v>
      </c>
      <c r="G35">
        <v>8942</v>
      </c>
      <c r="H35">
        <v>20.02</v>
      </c>
      <c r="I35">
        <v>0.31</v>
      </c>
      <c r="J35">
        <v>30</v>
      </c>
      <c r="K35">
        <v>34</v>
      </c>
      <c r="L35">
        <v>35</v>
      </c>
      <c r="M35">
        <v>26</v>
      </c>
      <c r="N35">
        <v>5</v>
      </c>
      <c r="O35" t="s">
        <v>562</v>
      </c>
    </row>
    <row r="36" spans="1:15" x14ac:dyDescent="0.25">
      <c r="A36" t="s">
        <v>14</v>
      </c>
      <c r="B36">
        <v>35</v>
      </c>
      <c r="C36" t="s">
        <v>539</v>
      </c>
      <c r="D36">
        <v>2599</v>
      </c>
      <c r="E36">
        <v>2710</v>
      </c>
      <c r="F36">
        <v>21652.9</v>
      </c>
      <c r="G36">
        <v>10840</v>
      </c>
      <c r="H36">
        <v>50.06</v>
      </c>
      <c r="I36">
        <v>0.15</v>
      </c>
      <c r="J36">
        <v>34</v>
      </c>
      <c r="K36">
        <v>35</v>
      </c>
      <c r="L36">
        <v>34</v>
      </c>
      <c r="M36">
        <v>7</v>
      </c>
      <c r="N36">
        <v>5</v>
      </c>
      <c r="O36" t="s">
        <v>562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2FAA3-86E2-48D1-A2BD-FD7573A5F58D}">
  <dimension ref="A1:N421"/>
  <sheetViews>
    <sheetView zoomScale="85" zoomScaleNormal="85" workbookViewId="0">
      <selection activeCell="H249" sqref="H249"/>
    </sheetView>
  </sheetViews>
  <sheetFormatPr defaultRowHeight="15" x14ac:dyDescent="0.25"/>
  <cols>
    <col min="1" max="1" width="11.7109375" bestFit="1" customWidth="1"/>
    <col min="2" max="2" width="13.7109375" bestFit="1" customWidth="1"/>
    <col min="3" max="3" width="15" bestFit="1" customWidth="1"/>
    <col min="4" max="4" width="15" customWidth="1"/>
    <col min="5" max="5" width="14.42578125" bestFit="1" customWidth="1"/>
    <col min="6" max="6" width="19" bestFit="1" customWidth="1"/>
    <col min="7" max="7" width="16.28515625" bestFit="1" customWidth="1"/>
    <col min="8" max="8" width="19.7109375" bestFit="1" customWidth="1"/>
    <col min="9" max="9" width="17.7109375" bestFit="1" customWidth="1"/>
    <col min="10" max="10" width="15.85546875" bestFit="1" customWidth="1"/>
    <col min="11" max="11" width="12.42578125" bestFit="1" customWidth="1"/>
    <col min="12" max="12" width="19.140625" bestFit="1" customWidth="1"/>
    <col min="13" max="13" width="23" bestFit="1" customWidth="1"/>
    <col min="14" max="14" width="23.140625" style="1" bestFit="1" customWidth="1"/>
  </cols>
  <sheetData>
    <row r="1" spans="1:14" x14ac:dyDescent="0.25">
      <c r="A1" t="s">
        <v>0</v>
      </c>
      <c r="B1" t="s">
        <v>1</v>
      </c>
      <c r="C1" t="s">
        <v>2</v>
      </c>
      <c r="D1" t="s">
        <v>633</v>
      </c>
      <c r="E1" t="s">
        <v>3</v>
      </c>
      <c r="F1" t="s">
        <v>4</v>
      </c>
      <c r="G1" t="s">
        <v>5</v>
      </c>
      <c r="H1" t="s">
        <v>6</v>
      </c>
      <c r="I1" t="s">
        <v>7</v>
      </c>
      <c r="J1" t="s">
        <v>8</v>
      </c>
      <c r="K1" t="s">
        <v>9</v>
      </c>
      <c r="L1" t="s">
        <v>10</v>
      </c>
      <c r="M1" t="s">
        <v>11</v>
      </c>
      <c r="N1" s="1" t="s">
        <v>12</v>
      </c>
    </row>
    <row r="2" spans="1:14" x14ac:dyDescent="0.25">
      <c r="A2">
        <v>2022</v>
      </c>
      <c r="B2">
        <v>1</v>
      </c>
      <c r="C2" t="s">
        <v>13</v>
      </c>
      <c r="D2" t="str">
        <f t="shared" ref="D2:D65" si="0">LEFT(C2,3)</f>
        <v>Jan</v>
      </c>
      <c r="E2">
        <v>1</v>
      </c>
      <c r="F2" t="s">
        <v>14</v>
      </c>
      <c r="G2" t="s">
        <v>15</v>
      </c>
      <c r="H2">
        <v>550</v>
      </c>
      <c r="I2">
        <v>793</v>
      </c>
      <c r="J2">
        <v>8444.07</v>
      </c>
      <c r="K2">
        <v>5344.07</v>
      </c>
      <c r="L2">
        <v>3100</v>
      </c>
      <c r="M2">
        <v>38.119999999999997</v>
      </c>
      <c r="N2" s="1" t="s">
        <v>16</v>
      </c>
    </row>
    <row r="3" spans="1:14" x14ac:dyDescent="0.25">
      <c r="A3">
        <v>2022</v>
      </c>
      <c r="B3">
        <v>1</v>
      </c>
      <c r="C3" t="s">
        <v>13</v>
      </c>
      <c r="D3" t="str">
        <f t="shared" si="0"/>
        <v>Jan</v>
      </c>
      <c r="E3">
        <v>1</v>
      </c>
      <c r="F3" t="s">
        <v>17</v>
      </c>
      <c r="G3" t="s">
        <v>15</v>
      </c>
      <c r="H3">
        <v>500</v>
      </c>
      <c r="I3">
        <v>998</v>
      </c>
      <c r="J3">
        <v>15191.02</v>
      </c>
      <c r="K3">
        <v>7270.02</v>
      </c>
      <c r="L3">
        <v>7921</v>
      </c>
      <c r="M3">
        <v>51.93</v>
      </c>
      <c r="N3" s="1" t="s">
        <v>18</v>
      </c>
    </row>
    <row r="4" spans="1:14" x14ac:dyDescent="0.25">
      <c r="A4">
        <v>2022</v>
      </c>
      <c r="B4">
        <v>1</v>
      </c>
      <c r="C4" t="s">
        <v>13</v>
      </c>
      <c r="D4" t="str">
        <f t="shared" si="0"/>
        <v>Jan</v>
      </c>
      <c r="E4">
        <v>1</v>
      </c>
      <c r="F4" t="s">
        <v>14</v>
      </c>
      <c r="G4" t="s">
        <v>19</v>
      </c>
      <c r="H4">
        <v>4075</v>
      </c>
      <c r="I4">
        <v>5227</v>
      </c>
      <c r="J4">
        <v>59560.73</v>
      </c>
      <c r="K4">
        <v>43027.73</v>
      </c>
      <c r="L4">
        <v>16533</v>
      </c>
      <c r="M4">
        <v>32.979999999999997</v>
      </c>
      <c r="N4" s="1" t="s">
        <v>20</v>
      </c>
    </row>
    <row r="5" spans="1:14" x14ac:dyDescent="0.25">
      <c r="A5">
        <v>2022</v>
      </c>
      <c r="B5">
        <v>1</v>
      </c>
      <c r="C5" t="s">
        <v>13</v>
      </c>
      <c r="D5" t="str">
        <f t="shared" si="0"/>
        <v>Jan</v>
      </c>
      <c r="E5">
        <v>1</v>
      </c>
      <c r="F5" t="s">
        <v>17</v>
      </c>
      <c r="G5" t="s">
        <v>21</v>
      </c>
      <c r="H5">
        <v>508</v>
      </c>
      <c r="I5">
        <v>756</v>
      </c>
      <c r="J5">
        <v>12102.44</v>
      </c>
      <c r="K5">
        <v>6264.44</v>
      </c>
      <c r="L5">
        <v>5838</v>
      </c>
      <c r="M5">
        <v>48.66</v>
      </c>
      <c r="N5" s="1" t="s">
        <v>22</v>
      </c>
    </row>
    <row r="6" spans="1:14" x14ac:dyDescent="0.25">
      <c r="A6">
        <v>2022</v>
      </c>
      <c r="B6">
        <v>1</v>
      </c>
      <c r="C6" t="s">
        <v>13</v>
      </c>
      <c r="D6" t="str">
        <f t="shared" si="0"/>
        <v>Jan</v>
      </c>
      <c r="E6">
        <v>1</v>
      </c>
      <c r="F6" t="s">
        <v>23</v>
      </c>
      <c r="G6" t="s">
        <v>21</v>
      </c>
      <c r="H6">
        <v>1170</v>
      </c>
      <c r="I6">
        <v>1374</v>
      </c>
      <c r="J6">
        <v>24807.26</v>
      </c>
      <c r="K6">
        <v>19322.259999999998</v>
      </c>
      <c r="L6">
        <v>5485</v>
      </c>
      <c r="M6">
        <v>24.01</v>
      </c>
      <c r="N6" s="1" t="s">
        <v>24</v>
      </c>
    </row>
    <row r="7" spans="1:14" x14ac:dyDescent="0.25">
      <c r="A7">
        <v>2022</v>
      </c>
      <c r="B7">
        <v>1</v>
      </c>
      <c r="C7" t="s">
        <v>13</v>
      </c>
      <c r="D7" t="str">
        <f t="shared" si="0"/>
        <v>Jan</v>
      </c>
      <c r="E7">
        <v>1</v>
      </c>
      <c r="F7" t="s">
        <v>25</v>
      </c>
      <c r="G7" t="s">
        <v>26</v>
      </c>
      <c r="H7">
        <v>758</v>
      </c>
      <c r="I7">
        <v>822</v>
      </c>
      <c r="J7">
        <v>6082.78</v>
      </c>
      <c r="K7">
        <v>4391.78</v>
      </c>
      <c r="L7">
        <v>1691</v>
      </c>
      <c r="M7">
        <v>27.68</v>
      </c>
      <c r="N7" s="1" t="s">
        <v>27</v>
      </c>
    </row>
    <row r="8" spans="1:14" x14ac:dyDescent="0.25">
      <c r="A8">
        <v>2022</v>
      </c>
      <c r="B8">
        <v>1</v>
      </c>
      <c r="C8" t="s">
        <v>13</v>
      </c>
      <c r="D8" t="str">
        <f t="shared" si="0"/>
        <v>Jan</v>
      </c>
      <c r="E8">
        <v>1</v>
      </c>
      <c r="F8" t="s">
        <v>28</v>
      </c>
      <c r="G8" t="s">
        <v>21</v>
      </c>
      <c r="H8">
        <v>535</v>
      </c>
      <c r="I8">
        <v>648</v>
      </c>
      <c r="J8">
        <v>8470.52</v>
      </c>
      <c r="K8">
        <v>6279.52</v>
      </c>
      <c r="L8">
        <v>2191</v>
      </c>
      <c r="M8">
        <v>23.57</v>
      </c>
      <c r="N8" s="1" t="s">
        <v>29</v>
      </c>
    </row>
    <row r="9" spans="1:14" x14ac:dyDescent="0.25">
      <c r="A9">
        <v>2022</v>
      </c>
      <c r="B9">
        <v>1</v>
      </c>
      <c r="C9" t="s">
        <v>13</v>
      </c>
      <c r="D9" t="str">
        <f t="shared" si="0"/>
        <v>Jan</v>
      </c>
      <c r="E9">
        <v>1</v>
      </c>
      <c r="F9" t="s">
        <v>25</v>
      </c>
      <c r="G9" t="s">
        <v>15</v>
      </c>
      <c r="H9">
        <v>277</v>
      </c>
      <c r="I9">
        <v>300</v>
      </c>
      <c r="J9">
        <v>1751</v>
      </c>
      <c r="K9">
        <v>1291</v>
      </c>
      <c r="L9">
        <v>460</v>
      </c>
      <c r="M9">
        <v>25.84</v>
      </c>
      <c r="N9" s="1" t="s">
        <v>30</v>
      </c>
    </row>
    <row r="10" spans="1:14" x14ac:dyDescent="0.25">
      <c r="A10">
        <v>2022</v>
      </c>
      <c r="B10">
        <v>1</v>
      </c>
      <c r="C10" t="s">
        <v>13</v>
      </c>
      <c r="D10" t="str">
        <f t="shared" si="0"/>
        <v>Jan</v>
      </c>
      <c r="E10">
        <v>1</v>
      </c>
      <c r="F10" t="s">
        <v>17</v>
      </c>
      <c r="G10" t="s">
        <v>19</v>
      </c>
      <c r="H10">
        <v>3235</v>
      </c>
      <c r="I10">
        <v>4942</v>
      </c>
      <c r="J10">
        <v>79855.58</v>
      </c>
      <c r="K10">
        <v>41894.58</v>
      </c>
      <c r="L10">
        <v>37961</v>
      </c>
      <c r="M10">
        <v>48.26</v>
      </c>
      <c r="N10" s="1" t="s">
        <v>31</v>
      </c>
    </row>
    <row r="11" spans="1:14" x14ac:dyDescent="0.25">
      <c r="A11">
        <v>2022</v>
      </c>
      <c r="B11">
        <v>1</v>
      </c>
      <c r="C11" t="s">
        <v>13</v>
      </c>
      <c r="D11" t="str">
        <f t="shared" si="0"/>
        <v>Jan</v>
      </c>
      <c r="E11">
        <v>1</v>
      </c>
      <c r="F11" t="s">
        <v>14</v>
      </c>
      <c r="G11" t="s">
        <v>21</v>
      </c>
      <c r="H11">
        <v>851</v>
      </c>
      <c r="I11">
        <v>1047</v>
      </c>
      <c r="J11">
        <v>11130.53</v>
      </c>
      <c r="K11">
        <v>8013.53</v>
      </c>
      <c r="L11">
        <v>3117</v>
      </c>
      <c r="M11">
        <v>34.01</v>
      </c>
      <c r="N11" s="1" t="s">
        <v>32</v>
      </c>
    </row>
    <row r="12" spans="1:14" x14ac:dyDescent="0.25">
      <c r="A12">
        <v>2022</v>
      </c>
      <c r="B12">
        <v>1</v>
      </c>
      <c r="C12" t="s">
        <v>13</v>
      </c>
      <c r="D12" t="str">
        <f t="shared" si="0"/>
        <v>Jan</v>
      </c>
      <c r="E12">
        <v>1</v>
      </c>
      <c r="F12" t="s">
        <v>28</v>
      </c>
      <c r="G12" t="s">
        <v>19</v>
      </c>
      <c r="H12">
        <v>2525</v>
      </c>
      <c r="I12">
        <v>3271</v>
      </c>
      <c r="J12">
        <v>46137.29</v>
      </c>
      <c r="K12">
        <v>33878.29</v>
      </c>
      <c r="L12">
        <v>12259</v>
      </c>
      <c r="M12">
        <v>23.49</v>
      </c>
      <c r="N12" s="1" t="s">
        <v>33</v>
      </c>
    </row>
    <row r="13" spans="1:14" x14ac:dyDescent="0.25">
      <c r="A13">
        <v>2022</v>
      </c>
      <c r="B13">
        <v>1</v>
      </c>
      <c r="C13" t="s">
        <v>13</v>
      </c>
      <c r="D13" t="str">
        <f t="shared" si="0"/>
        <v>Jan</v>
      </c>
      <c r="E13">
        <v>1</v>
      </c>
      <c r="F13" t="s">
        <v>25</v>
      </c>
      <c r="G13" t="s">
        <v>21</v>
      </c>
      <c r="H13">
        <v>380</v>
      </c>
      <c r="I13">
        <v>480</v>
      </c>
      <c r="J13">
        <v>5429.2</v>
      </c>
      <c r="K13">
        <v>3909.2</v>
      </c>
      <c r="L13">
        <v>1520</v>
      </c>
      <c r="M13">
        <v>24.98</v>
      </c>
      <c r="N13" s="1" t="s">
        <v>34</v>
      </c>
    </row>
    <row r="14" spans="1:14" x14ac:dyDescent="0.25">
      <c r="A14">
        <v>2022</v>
      </c>
      <c r="B14">
        <v>1</v>
      </c>
      <c r="C14" t="s">
        <v>13</v>
      </c>
      <c r="D14" t="str">
        <f t="shared" si="0"/>
        <v>Jan</v>
      </c>
      <c r="E14">
        <v>1</v>
      </c>
      <c r="F14" t="s">
        <v>14</v>
      </c>
      <c r="G14" t="s">
        <v>26</v>
      </c>
      <c r="H14">
        <v>1399</v>
      </c>
      <c r="I14">
        <v>1735</v>
      </c>
      <c r="J14">
        <v>18440.650000000001</v>
      </c>
      <c r="K14">
        <v>12882.65</v>
      </c>
      <c r="L14">
        <v>5558</v>
      </c>
      <c r="M14">
        <v>35.92</v>
      </c>
      <c r="N14" s="1" t="s">
        <v>35</v>
      </c>
    </row>
    <row r="15" spans="1:14" x14ac:dyDescent="0.25">
      <c r="A15">
        <v>2022</v>
      </c>
      <c r="B15">
        <v>1</v>
      </c>
      <c r="C15" t="s">
        <v>13</v>
      </c>
      <c r="D15" t="str">
        <f t="shared" si="0"/>
        <v>Jan</v>
      </c>
      <c r="E15">
        <v>1</v>
      </c>
      <c r="F15" t="s">
        <v>23</v>
      </c>
      <c r="G15" t="s">
        <v>26</v>
      </c>
      <c r="H15">
        <v>1766</v>
      </c>
      <c r="I15">
        <v>2255</v>
      </c>
      <c r="J15">
        <v>39209.449999999997</v>
      </c>
      <c r="K15">
        <v>31189.45</v>
      </c>
      <c r="L15">
        <v>8020</v>
      </c>
      <c r="M15">
        <v>21.48</v>
      </c>
      <c r="N15" s="1" t="s">
        <v>36</v>
      </c>
    </row>
    <row r="16" spans="1:14" x14ac:dyDescent="0.25">
      <c r="A16">
        <v>2022</v>
      </c>
      <c r="B16">
        <v>1</v>
      </c>
      <c r="C16" t="s">
        <v>13</v>
      </c>
      <c r="D16" t="str">
        <f t="shared" si="0"/>
        <v>Jan</v>
      </c>
      <c r="E16">
        <v>1</v>
      </c>
      <c r="F16" t="s">
        <v>23</v>
      </c>
      <c r="G16" t="s">
        <v>19</v>
      </c>
      <c r="H16">
        <v>5499</v>
      </c>
      <c r="I16">
        <v>6494</v>
      </c>
      <c r="J16">
        <v>117040.06</v>
      </c>
      <c r="K16">
        <v>92117.06</v>
      </c>
      <c r="L16">
        <v>24923</v>
      </c>
      <c r="M16">
        <v>22.61</v>
      </c>
      <c r="N16" s="1" t="s">
        <v>37</v>
      </c>
    </row>
    <row r="17" spans="1:14" x14ac:dyDescent="0.25">
      <c r="A17">
        <v>2022</v>
      </c>
      <c r="B17">
        <v>1</v>
      </c>
      <c r="C17" t="s">
        <v>13</v>
      </c>
      <c r="D17" t="str">
        <f t="shared" si="0"/>
        <v>Jan</v>
      </c>
      <c r="E17">
        <v>1</v>
      </c>
      <c r="F17" t="s">
        <v>25</v>
      </c>
      <c r="G17" t="s">
        <v>19</v>
      </c>
      <c r="H17">
        <v>2286</v>
      </c>
      <c r="I17">
        <v>2680</v>
      </c>
      <c r="J17">
        <v>21834.2</v>
      </c>
      <c r="K17">
        <v>15577.2</v>
      </c>
      <c r="L17">
        <v>6257</v>
      </c>
      <c r="M17">
        <v>28.09</v>
      </c>
      <c r="N17" s="1" t="s">
        <v>38</v>
      </c>
    </row>
    <row r="18" spans="1:14" x14ac:dyDescent="0.25">
      <c r="A18">
        <v>2022</v>
      </c>
      <c r="B18">
        <v>1</v>
      </c>
      <c r="C18" t="s">
        <v>13</v>
      </c>
      <c r="D18" t="str">
        <f t="shared" si="0"/>
        <v>Jan</v>
      </c>
      <c r="E18">
        <v>1</v>
      </c>
      <c r="F18" t="s">
        <v>28</v>
      </c>
      <c r="G18" t="s">
        <v>15</v>
      </c>
      <c r="H18">
        <v>317</v>
      </c>
      <c r="I18">
        <v>363</v>
      </c>
      <c r="J18">
        <v>5771.37</v>
      </c>
      <c r="K18">
        <v>4380.37</v>
      </c>
      <c r="L18">
        <v>1391</v>
      </c>
      <c r="M18">
        <v>22.06</v>
      </c>
      <c r="N18" s="1" t="s">
        <v>39</v>
      </c>
    </row>
    <row r="19" spans="1:14" x14ac:dyDescent="0.25">
      <c r="A19">
        <v>2022</v>
      </c>
      <c r="B19">
        <v>1</v>
      </c>
      <c r="C19" t="s">
        <v>13</v>
      </c>
      <c r="D19" t="str">
        <f t="shared" si="0"/>
        <v>Jan</v>
      </c>
      <c r="E19">
        <v>1</v>
      </c>
      <c r="F19" t="s">
        <v>17</v>
      </c>
      <c r="G19" t="s">
        <v>26</v>
      </c>
      <c r="H19">
        <v>1542</v>
      </c>
      <c r="I19">
        <v>2242</v>
      </c>
      <c r="J19">
        <v>35939.58</v>
      </c>
      <c r="K19">
        <v>18639.580000000002</v>
      </c>
      <c r="L19">
        <v>17300</v>
      </c>
      <c r="M19">
        <v>49.18</v>
      </c>
      <c r="N19" s="1" t="s">
        <v>40</v>
      </c>
    </row>
    <row r="20" spans="1:14" x14ac:dyDescent="0.25">
      <c r="A20">
        <v>2022</v>
      </c>
      <c r="B20">
        <v>1</v>
      </c>
      <c r="C20" t="s">
        <v>13</v>
      </c>
      <c r="D20" t="str">
        <f t="shared" si="0"/>
        <v>Jan</v>
      </c>
      <c r="E20">
        <v>1</v>
      </c>
      <c r="F20" t="s">
        <v>28</v>
      </c>
      <c r="G20" t="s">
        <v>26</v>
      </c>
      <c r="H20">
        <v>902</v>
      </c>
      <c r="I20">
        <v>1030</v>
      </c>
      <c r="J20">
        <v>14566.7</v>
      </c>
      <c r="K20">
        <v>10998.7</v>
      </c>
      <c r="L20">
        <v>3568</v>
      </c>
      <c r="M20">
        <v>22.39</v>
      </c>
      <c r="N20" s="1" t="s">
        <v>41</v>
      </c>
    </row>
    <row r="21" spans="1:14" x14ac:dyDescent="0.25">
      <c r="A21">
        <v>2022</v>
      </c>
      <c r="B21">
        <v>1</v>
      </c>
      <c r="C21" t="s">
        <v>13</v>
      </c>
      <c r="D21" t="str">
        <f t="shared" si="0"/>
        <v>Jan</v>
      </c>
      <c r="E21">
        <v>1</v>
      </c>
      <c r="F21" t="s">
        <v>23</v>
      </c>
      <c r="G21" t="s">
        <v>15</v>
      </c>
      <c r="H21">
        <v>472</v>
      </c>
      <c r="I21">
        <v>552</v>
      </c>
      <c r="J21">
        <v>10790.48</v>
      </c>
      <c r="K21">
        <v>8757.48</v>
      </c>
      <c r="L21">
        <v>2033</v>
      </c>
      <c r="M21">
        <v>20.49</v>
      </c>
      <c r="N21" s="1" t="s">
        <v>42</v>
      </c>
    </row>
    <row r="22" spans="1:14" x14ac:dyDescent="0.25">
      <c r="A22">
        <v>2022</v>
      </c>
      <c r="B22">
        <v>2</v>
      </c>
      <c r="C22" t="s">
        <v>43</v>
      </c>
      <c r="D22" t="str">
        <f t="shared" si="0"/>
        <v>Feb</v>
      </c>
      <c r="E22">
        <v>1</v>
      </c>
      <c r="F22" t="s">
        <v>17</v>
      </c>
      <c r="G22" t="s">
        <v>15</v>
      </c>
      <c r="H22">
        <v>487</v>
      </c>
      <c r="I22">
        <v>799</v>
      </c>
      <c r="J22">
        <v>11977.01</v>
      </c>
      <c r="K22">
        <v>5585.01</v>
      </c>
      <c r="L22">
        <v>6392</v>
      </c>
      <c r="M22">
        <v>53.36</v>
      </c>
      <c r="N22" s="1" t="s">
        <v>44</v>
      </c>
    </row>
    <row r="23" spans="1:14" x14ac:dyDescent="0.25">
      <c r="A23">
        <v>2022</v>
      </c>
      <c r="B23">
        <v>2</v>
      </c>
      <c r="C23" t="s">
        <v>43</v>
      </c>
      <c r="D23" t="str">
        <f t="shared" si="0"/>
        <v>Feb</v>
      </c>
      <c r="E23">
        <v>1</v>
      </c>
      <c r="F23" t="s">
        <v>14</v>
      </c>
      <c r="G23" t="s">
        <v>26</v>
      </c>
      <c r="H23">
        <v>1429</v>
      </c>
      <c r="I23">
        <v>1711</v>
      </c>
      <c r="J23">
        <v>18296.89</v>
      </c>
      <c r="K23">
        <v>12772.89</v>
      </c>
      <c r="L23">
        <v>5524</v>
      </c>
      <c r="M23">
        <v>35.130000000000003</v>
      </c>
      <c r="N23" s="1" t="s">
        <v>45</v>
      </c>
    </row>
    <row r="24" spans="1:14" x14ac:dyDescent="0.25">
      <c r="A24">
        <v>2022</v>
      </c>
      <c r="B24">
        <v>2</v>
      </c>
      <c r="C24" t="s">
        <v>43</v>
      </c>
      <c r="D24" t="str">
        <f t="shared" si="0"/>
        <v>Feb</v>
      </c>
      <c r="E24">
        <v>1</v>
      </c>
      <c r="F24" t="s">
        <v>23</v>
      </c>
      <c r="G24" t="s">
        <v>21</v>
      </c>
      <c r="H24">
        <v>1231</v>
      </c>
      <c r="I24">
        <v>1659</v>
      </c>
      <c r="J24">
        <v>34934.410000000003</v>
      </c>
      <c r="K24">
        <v>27656.41</v>
      </c>
      <c r="L24">
        <v>7278</v>
      </c>
      <c r="M24">
        <v>23.99</v>
      </c>
      <c r="N24" s="1" t="s">
        <v>46</v>
      </c>
    </row>
    <row r="25" spans="1:14" x14ac:dyDescent="0.25">
      <c r="A25">
        <v>2022</v>
      </c>
      <c r="B25">
        <v>2</v>
      </c>
      <c r="C25" t="s">
        <v>43</v>
      </c>
      <c r="D25" t="str">
        <f t="shared" si="0"/>
        <v>Feb</v>
      </c>
      <c r="E25">
        <v>1</v>
      </c>
      <c r="F25" t="s">
        <v>25</v>
      </c>
      <c r="G25" t="s">
        <v>15</v>
      </c>
      <c r="H25">
        <v>206</v>
      </c>
      <c r="I25">
        <v>294</v>
      </c>
      <c r="J25">
        <v>1968.06</v>
      </c>
      <c r="K25">
        <v>1419.06</v>
      </c>
      <c r="L25">
        <v>549</v>
      </c>
      <c r="M25">
        <v>27.32</v>
      </c>
      <c r="N25" s="1" t="s">
        <v>47</v>
      </c>
    </row>
    <row r="26" spans="1:14" x14ac:dyDescent="0.25">
      <c r="A26">
        <v>2022</v>
      </c>
      <c r="B26">
        <v>2</v>
      </c>
      <c r="C26" t="s">
        <v>43</v>
      </c>
      <c r="D26" t="str">
        <f t="shared" si="0"/>
        <v>Feb</v>
      </c>
      <c r="E26">
        <v>1</v>
      </c>
      <c r="F26" t="s">
        <v>23</v>
      </c>
      <c r="G26" t="s">
        <v>15</v>
      </c>
      <c r="H26">
        <v>600</v>
      </c>
      <c r="I26">
        <v>747</v>
      </c>
      <c r="J26">
        <v>17093.53</v>
      </c>
      <c r="K26">
        <v>14226.53</v>
      </c>
      <c r="L26">
        <v>2867</v>
      </c>
      <c r="M26">
        <v>20.170000000000002</v>
      </c>
      <c r="N26" s="1" t="s">
        <v>48</v>
      </c>
    </row>
    <row r="27" spans="1:14" x14ac:dyDescent="0.25">
      <c r="A27">
        <v>2022</v>
      </c>
      <c r="B27">
        <v>2</v>
      </c>
      <c r="C27" t="s">
        <v>43</v>
      </c>
      <c r="D27" t="str">
        <f t="shared" si="0"/>
        <v>Feb</v>
      </c>
      <c r="E27">
        <v>1</v>
      </c>
      <c r="F27" t="s">
        <v>14</v>
      </c>
      <c r="G27" t="s">
        <v>15</v>
      </c>
      <c r="H27">
        <v>553</v>
      </c>
      <c r="I27">
        <v>999</v>
      </c>
      <c r="J27">
        <v>10867.01</v>
      </c>
      <c r="K27">
        <v>6736.01</v>
      </c>
      <c r="L27">
        <v>4131</v>
      </c>
      <c r="M27">
        <v>38.479999999999997</v>
      </c>
      <c r="N27" s="1" t="s">
        <v>49</v>
      </c>
    </row>
    <row r="28" spans="1:14" x14ac:dyDescent="0.25">
      <c r="A28">
        <v>2022</v>
      </c>
      <c r="B28">
        <v>2</v>
      </c>
      <c r="C28" t="s">
        <v>43</v>
      </c>
      <c r="D28" t="str">
        <f t="shared" si="0"/>
        <v>Feb</v>
      </c>
      <c r="E28">
        <v>1</v>
      </c>
      <c r="F28" t="s">
        <v>25</v>
      </c>
      <c r="G28" t="s">
        <v>19</v>
      </c>
      <c r="H28">
        <v>2509</v>
      </c>
      <c r="I28">
        <v>3118</v>
      </c>
      <c r="J28">
        <v>22304.82</v>
      </c>
      <c r="K28">
        <v>15832.82</v>
      </c>
      <c r="L28">
        <v>6472</v>
      </c>
      <c r="M28">
        <v>29.03</v>
      </c>
      <c r="N28" s="1" t="s">
        <v>50</v>
      </c>
    </row>
    <row r="29" spans="1:14" x14ac:dyDescent="0.25">
      <c r="A29">
        <v>2022</v>
      </c>
      <c r="B29">
        <v>2</v>
      </c>
      <c r="C29" t="s">
        <v>43</v>
      </c>
      <c r="D29" t="str">
        <f t="shared" si="0"/>
        <v>Feb</v>
      </c>
      <c r="E29">
        <v>1</v>
      </c>
      <c r="F29" t="s">
        <v>23</v>
      </c>
      <c r="G29" t="s">
        <v>19</v>
      </c>
      <c r="H29">
        <v>5032</v>
      </c>
      <c r="I29">
        <v>6057</v>
      </c>
      <c r="J29">
        <v>121012.43</v>
      </c>
      <c r="K29">
        <v>95161.43</v>
      </c>
      <c r="L29">
        <v>25851</v>
      </c>
      <c r="M29">
        <v>24.26</v>
      </c>
      <c r="N29" s="1" t="s">
        <v>51</v>
      </c>
    </row>
    <row r="30" spans="1:14" x14ac:dyDescent="0.25">
      <c r="A30">
        <v>2022</v>
      </c>
      <c r="B30">
        <v>2</v>
      </c>
      <c r="C30" t="s">
        <v>43</v>
      </c>
      <c r="D30" t="str">
        <f t="shared" si="0"/>
        <v>Feb</v>
      </c>
      <c r="E30">
        <v>1</v>
      </c>
      <c r="F30" t="s">
        <v>17</v>
      </c>
      <c r="G30" t="s">
        <v>19</v>
      </c>
      <c r="H30">
        <v>2976</v>
      </c>
      <c r="I30">
        <v>4154</v>
      </c>
      <c r="J30">
        <v>66855.460000000006</v>
      </c>
      <c r="K30">
        <v>34874.46</v>
      </c>
      <c r="L30">
        <v>31981</v>
      </c>
      <c r="M30">
        <v>49.25</v>
      </c>
      <c r="N30" s="1" t="s">
        <v>52</v>
      </c>
    </row>
    <row r="31" spans="1:14" x14ac:dyDescent="0.25">
      <c r="A31">
        <v>2022</v>
      </c>
      <c r="B31">
        <v>2</v>
      </c>
      <c r="C31" t="s">
        <v>43</v>
      </c>
      <c r="D31" t="str">
        <f t="shared" si="0"/>
        <v>Feb</v>
      </c>
      <c r="E31">
        <v>1</v>
      </c>
      <c r="F31" t="s">
        <v>17</v>
      </c>
      <c r="G31" t="s">
        <v>26</v>
      </c>
      <c r="H31">
        <v>1596</v>
      </c>
      <c r="I31">
        <v>2454</v>
      </c>
      <c r="J31">
        <v>39359.46</v>
      </c>
      <c r="K31">
        <v>20429.46</v>
      </c>
      <c r="L31">
        <v>18930</v>
      </c>
      <c r="M31">
        <v>48.76</v>
      </c>
      <c r="N31" s="1" t="s">
        <v>53</v>
      </c>
    </row>
    <row r="32" spans="1:14" x14ac:dyDescent="0.25">
      <c r="A32">
        <v>2022</v>
      </c>
      <c r="B32">
        <v>2</v>
      </c>
      <c r="C32" t="s">
        <v>43</v>
      </c>
      <c r="D32" t="str">
        <f t="shared" si="0"/>
        <v>Feb</v>
      </c>
      <c r="E32">
        <v>1</v>
      </c>
      <c r="F32" t="s">
        <v>28</v>
      </c>
      <c r="G32" t="s">
        <v>21</v>
      </c>
      <c r="H32">
        <v>546</v>
      </c>
      <c r="I32">
        <v>646</v>
      </c>
      <c r="J32">
        <v>8837.5400000000009</v>
      </c>
      <c r="K32">
        <v>6722.54</v>
      </c>
      <c r="L32">
        <v>2115</v>
      </c>
      <c r="M32">
        <v>22.22</v>
      </c>
      <c r="N32" s="1" t="s">
        <v>54</v>
      </c>
    </row>
    <row r="33" spans="1:14" x14ac:dyDescent="0.25">
      <c r="A33">
        <v>2022</v>
      </c>
      <c r="B33">
        <v>2</v>
      </c>
      <c r="C33" t="s">
        <v>43</v>
      </c>
      <c r="D33" t="str">
        <f t="shared" si="0"/>
        <v>Feb</v>
      </c>
      <c r="E33">
        <v>1</v>
      </c>
      <c r="F33" t="s">
        <v>25</v>
      </c>
      <c r="G33" t="s">
        <v>26</v>
      </c>
      <c r="H33">
        <v>747</v>
      </c>
      <c r="I33">
        <v>886</v>
      </c>
      <c r="J33">
        <v>6313.14</v>
      </c>
      <c r="K33">
        <v>4503.1400000000003</v>
      </c>
      <c r="L33">
        <v>1810</v>
      </c>
      <c r="M33">
        <v>28.71</v>
      </c>
      <c r="N33" s="1" t="s">
        <v>55</v>
      </c>
    </row>
    <row r="34" spans="1:14" x14ac:dyDescent="0.25">
      <c r="A34">
        <v>2022</v>
      </c>
      <c r="B34">
        <v>2</v>
      </c>
      <c r="C34" t="s">
        <v>43</v>
      </c>
      <c r="D34" t="str">
        <f t="shared" si="0"/>
        <v>Feb</v>
      </c>
      <c r="E34">
        <v>1</v>
      </c>
      <c r="F34" t="s">
        <v>28</v>
      </c>
      <c r="G34" t="s">
        <v>19</v>
      </c>
      <c r="H34">
        <v>2456</v>
      </c>
      <c r="I34">
        <v>3110</v>
      </c>
      <c r="J34">
        <v>41631.9</v>
      </c>
      <c r="K34">
        <v>31372.9</v>
      </c>
      <c r="L34">
        <v>10259</v>
      </c>
      <c r="M34">
        <v>22.52</v>
      </c>
      <c r="N34" s="1" t="s">
        <v>56</v>
      </c>
    </row>
    <row r="35" spans="1:14" x14ac:dyDescent="0.25">
      <c r="A35">
        <v>2022</v>
      </c>
      <c r="B35">
        <v>2</v>
      </c>
      <c r="C35" t="s">
        <v>43</v>
      </c>
      <c r="D35" t="str">
        <f t="shared" si="0"/>
        <v>Feb</v>
      </c>
      <c r="E35">
        <v>1</v>
      </c>
      <c r="F35" t="s">
        <v>28</v>
      </c>
      <c r="G35" t="s">
        <v>26</v>
      </c>
      <c r="H35">
        <v>1132</v>
      </c>
      <c r="I35">
        <v>1340</v>
      </c>
      <c r="J35">
        <v>18092.599999999999</v>
      </c>
      <c r="K35">
        <v>13521.6</v>
      </c>
      <c r="L35">
        <v>4571</v>
      </c>
      <c r="M35">
        <v>22.58</v>
      </c>
      <c r="N35" s="1" t="s">
        <v>57</v>
      </c>
    </row>
    <row r="36" spans="1:14" x14ac:dyDescent="0.25">
      <c r="A36">
        <v>2022</v>
      </c>
      <c r="B36">
        <v>2</v>
      </c>
      <c r="C36" t="s">
        <v>43</v>
      </c>
      <c r="D36" t="str">
        <f t="shared" si="0"/>
        <v>Feb</v>
      </c>
      <c r="E36">
        <v>1</v>
      </c>
      <c r="F36" t="s">
        <v>17</v>
      </c>
      <c r="G36" t="s">
        <v>21</v>
      </c>
      <c r="H36">
        <v>625</v>
      </c>
      <c r="I36">
        <v>952</v>
      </c>
      <c r="J36">
        <v>15161.48</v>
      </c>
      <c r="K36">
        <v>7788.48</v>
      </c>
      <c r="L36">
        <v>7373</v>
      </c>
      <c r="M36">
        <v>48.94</v>
      </c>
      <c r="N36" s="1" t="s">
        <v>58</v>
      </c>
    </row>
    <row r="37" spans="1:14" x14ac:dyDescent="0.25">
      <c r="A37">
        <v>2022</v>
      </c>
      <c r="B37">
        <v>2</v>
      </c>
      <c r="C37" t="s">
        <v>43</v>
      </c>
      <c r="D37" t="str">
        <f t="shared" si="0"/>
        <v>Feb</v>
      </c>
      <c r="E37">
        <v>1</v>
      </c>
      <c r="F37" t="s">
        <v>25</v>
      </c>
      <c r="G37" t="s">
        <v>21</v>
      </c>
      <c r="H37">
        <v>385</v>
      </c>
      <c r="I37">
        <v>429</v>
      </c>
      <c r="J37">
        <v>3296.71</v>
      </c>
      <c r="K37">
        <v>2387.71</v>
      </c>
      <c r="L37">
        <v>909</v>
      </c>
      <c r="M37">
        <v>26.87</v>
      </c>
      <c r="N37" s="1" t="s">
        <v>59</v>
      </c>
    </row>
    <row r="38" spans="1:14" x14ac:dyDescent="0.25">
      <c r="A38">
        <v>2022</v>
      </c>
      <c r="B38">
        <v>2</v>
      </c>
      <c r="C38" t="s">
        <v>43</v>
      </c>
      <c r="D38" t="str">
        <f t="shared" si="0"/>
        <v>Feb</v>
      </c>
      <c r="E38">
        <v>1</v>
      </c>
      <c r="F38" t="s">
        <v>28</v>
      </c>
      <c r="G38" t="s">
        <v>15</v>
      </c>
      <c r="H38">
        <v>314</v>
      </c>
      <c r="I38">
        <v>355</v>
      </c>
      <c r="J38">
        <v>4776.45</v>
      </c>
      <c r="K38">
        <v>3776.45</v>
      </c>
      <c r="L38">
        <v>1000</v>
      </c>
      <c r="M38">
        <v>18.64</v>
      </c>
      <c r="N38" s="1" t="s">
        <v>60</v>
      </c>
    </row>
    <row r="39" spans="1:14" x14ac:dyDescent="0.25">
      <c r="A39">
        <v>2022</v>
      </c>
      <c r="B39">
        <v>2</v>
      </c>
      <c r="C39" t="s">
        <v>43</v>
      </c>
      <c r="D39" t="str">
        <f t="shared" si="0"/>
        <v>Feb</v>
      </c>
      <c r="E39">
        <v>1</v>
      </c>
      <c r="F39" t="s">
        <v>23</v>
      </c>
      <c r="G39" t="s">
        <v>26</v>
      </c>
      <c r="H39">
        <v>1748</v>
      </c>
      <c r="I39">
        <v>2037</v>
      </c>
      <c r="J39">
        <v>37589.629999999997</v>
      </c>
      <c r="K39">
        <v>29849.63</v>
      </c>
      <c r="L39">
        <v>7740</v>
      </c>
      <c r="M39">
        <v>22.18</v>
      </c>
      <c r="N39" s="1" t="s">
        <v>61</v>
      </c>
    </row>
    <row r="40" spans="1:14" x14ac:dyDescent="0.25">
      <c r="A40">
        <v>2022</v>
      </c>
      <c r="B40">
        <v>2</v>
      </c>
      <c r="C40" t="s">
        <v>43</v>
      </c>
      <c r="D40" t="str">
        <f t="shared" si="0"/>
        <v>Feb</v>
      </c>
      <c r="E40">
        <v>1</v>
      </c>
      <c r="F40" t="s">
        <v>14</v>
      </c>
      <c r="G40" t="s">
        <v>21</v>
      </c>
      <c r="H40">
        <v>675</v>
      </c>
      <c r="I40">
        <v>879</v>
      </c>
      <c r="J40">
        <v>8944.2099999999991</v>
      </c>
      <c r="K40">
        <v>6355.21</v>
      </c>
      <c r="L40">
        <v>2589</v>
      </c>
      <c r="M40">
        <v>32.97</v>
      </c>
      <c r="N40" s="1" t="s">
        <v>62</v>
      </c>
    </row>
    <row r="41" spans="1:14" x14ac:dyDescent="0.25">
      <c r="A41">
        <v>2022</v>
      </c>
      <c r="B41">
        <v>2</v>
      </c>
      <c r="C41" t="s">
        <v>43</v>
      </c>
      <c r="D41" t="str">
        <f t="shared" si="0"/>
        <v>Feb</v>
      </c>
      <c r="E41">
        <v>1</v>
      </c>
      <c r="F41" t="s">
        <v>14</v>
      </c>
      <c r="G41" t="s">
        <v>19</v>
      </c>
      <c r="H41">
        <v>3404</v>
      </c>
      <c r="I41">
        <v>4309</v>
      </c>
      <c r="J41">
        <v>52038.91</v>
      </c>
      <c r="K41">
        <v>38518.910000000003</v>
      </c>
      <c r="L41">
        <v>13520</v>
      </c>
      <c r="M41">
        <v>32.51</v>
      </c>
      <c r="N41" s="1" t="s">
        <v>63</v>
      </c>
    </row>
    <row r="42" spans="1:14" x14ac:dyDescent="0.25">
      <c r="A42">
        <v>2022</v>
      </c>
      <c r="B42">
        <v>3</v>
      </c>
      <c r="C42" t="s">
        <v>64</v>
      </c>
      <c r="D42" t="str">
        <f t="shared" si="0"/>
        <v>Mar</v>
      </c>
      <c r="E42">
        <v>1</v>
      </c>
      <c r="F42" t="s">
        <v>25</v>
      </c>
      <c r="G42" t="s">
        <v>21</v>
      </c>
      <c r="H42">
        <v>565</v>
      </c>
      <c r="I42">
        <v>670</v>
      </c>
      <c r="J42">
        <v>7263.3</v>
      </c>
      <c r="K42">
        <v>5113.3</v>
      </c>
      <c r="L42">
        <v>2150</v>
      </c>
      <c r="M42">
        <v>29.64</v>
      </c>
      <c r="N42" s="1" t="s">
        <v>65</v>
      </c>
    </row>
    <row r="43" spans="1:14" x14ac:dyDescent="0.25">
      <c r="A43">
        <v>2022</v>
      </c>
      <c r="B43">
        <v>3</v>
      </c>
      <c r="C43" t="s">
        <v>64</v>
      </c>
      <c r="D43" t="str">
        <f t="shared" si="0"/>
        <v>Mar</v>
      </c>
      <c r="E43">
        <v>1</v>
      </c>
      <c r="F43" t="s">
        <v>25</v>
      </c>
      <c r="G43" t="s">
        <v>19</v>
      </c>
      <c r="H43">
        <v>3073</v>
      </c>
      <c r="I43">
        <v>3755</v>
      </c>
      <c r="J43">
        <v>29736.45</v>
      </c>
      <c r="K43">
        <v>20936.45</v>
      </c>
      <c r="L43">
        <v>8800</v>
      </c>
      <c r="M43">
        <v>29.59</v>
      </c>
      <c r="N43" s="1" t="s">
        <v>66</v>
      </c>
    </row>
    <row r="44" spans="1:14" x14ac:dyDescent="0.25">
      <c r="A44">
        <v>2022</v>
      </c>
      <c r="B44">
        <v>3</v>
      </c>
      <c r="C44" t="s">
        <v>64</v>
      </c>
      <c r="D44" t="str">
        <f t="shared" si="0"/>
        <v>Mar</v>
      </c>
      <c r="E44">
        <v>1</v>
      </c>
      <c r="F44" t="s">
        <v>28</v>
      </c>
      <c r="G44" t="s">
        <v>21</v>
      </c>
      <c r="H44">
        <v>598</v>
      </c>
      <c r="I44">
        <v>674</v>
      </c>
      <c r="J44">
        <v>8886.26</v>
      </c>
      <c r="K44">
        <v>6884.26</v>
      </c>
      <c r="L44">
        <v>2002</v>
      </c>
      <c r="M44">
        <v>20.34</v>
      </c>
      <c r="N44" s="1" t="s">
        <v>67</v>
      </c>
    </row>
    <row r="45" spans="1:14" x14ac:dyDescent="0.25">
      <c r="A45">
        <v>2022</v>
      </c>
      <c r="B45">
        <v>3</v>
      </c>
      <c r="C45" t="s">
        <v>64</v>
      </c>
      <c r="D45" t="str">
        <f t="shared" si="0"/>
        <v>Mar</v>
      </c>
      <c r="E45">
        <v>1</v>
      </c>
      <c r="F45" t="s">
        <v>14</v>
      </c>
      <c r="G45" t="s">
        <v>26</v>
      </c>
      <c r="H45">
        <v>1428</v>
      </c>
      <c r="I45">
        <v>1774</v>
      </c>
      <c r="J45">
        <v>19153.259999999998</v>
      </c>
      <c r="K45">
        <v>13316.26</v>
      </c>
      <c r="L45">
        <v>5837</v>
      </c>
      <c r="M45">
        <v>35.5</v>
      </c>
      <c r="N45" s="1" t="s">
        <v>68</v>
      </c>
    </row>
    <row r="46" spans="1:14" x14ac:dyDescent="0.25">
      <c r="A46">
        <v>2022</v>
      </c>
      <c r="B46">
        <v>3</v>
      </c>
      <c r="C46" t="s">
        <v>64</v>
      </c>
      <c r="D46" t="str">
        <f t="shared" si="0"/>
        <v>Mar</v>
      </c>
      <c r="E46">
        <v>1</v>
      </c>
      <c r="F46" t="s">
        <v>28</v>
      </c>
      <c r="G46" t="s">
        <v>19</v>
      </c>
      <c r="H46">
        <v>2900</v>
      </c>
      <c r="I46">
        <v>3605</v>
      </c>
      <c r="J46">
        <v>46267.95</v>
      </c>
      <c r="K46">
        <v>35535.949999999997</v>
      </c>
      <c r="L46">
        <v>10732</v>
      </c>
      <c r="M46">
        <v>21.71</v>
      </c>
      <c r="N46" s="1" t="s">
        <v>69</v>
      </c>
    </row>
    <row r="47" spans="1:14" x14ac:dyDescent="0.25">
      <c r="A47">
        <v>2022</v>
      </c>
      <c r="B47">
        <v>3</v>
      </c>
      <c r="C47" t="s">
        <v>64</v>
      </c>
      <c r="D47" t="str">
        <f t="shared" si="0"/>
        <v>Mar</v>
      </c>
      <c r="E47">
        <v>1</v>
      </c>
      <c r="F47" t="s">
        <v>23</v>
      </c>
      <c r="G47" t="s">
        <v>26</v>
      </c>
      <c r="H47">
        <v>2031</v>
      </c>
      <c r="I47">
        <v>2446</v>
      </c>
      <c r="J47">
        <v>50190.54</v>
      </c>
      <c r="K47">
        <v>39880.54</v>
      </c>
      <c r="L47">
        <v>10310</v>
      </c>
      <c r="M47">
        <v>25.74</v>
      </c>
      <c r="N47" s="1" t="s">
        <v>70</v>
      </c>
    </row>
    <row r="48" spans="1:14" x14ac:dyDescent="0.25">
      <c r="A48">
        <v>2022</v>
      </c>
      <c r="B48">
        <v>3</v>
      </c>
      <c r="C48" t="s">
        <v>64</v>
      </c>
      <c r="D48" t="str">
        <f t="shared" si="0"/>
        <v>Mar</v>
      </c>
      <c r="E48">
        <v>1</v>
      </c>
      <c r="F48" t="s">
        <v>17</v>
      </c>
      <c r="G48" t="s">
        <v>26</v>
      </c>
      <c r="H48">
        <v>1400</v>
      </c>
      <c r="I48">
        <v>2149</v>
      </c>
      <c r="J48">
        <v>33940.51</v>
      </c>
      <c r="K48">
        <v>17219.509999999998</v>
      </c>
      <c r="L48">
        <v>16721</v>
      </c>
      <c r="M48">
        <v>50.09</v>
      </c>
      <c r="N48" s="1" t="s">
        <v>71</v>
      </c>
    </row>
    <row r="49" spans="1:14" x14ac:dyDescent="0.25">
      <c r="A49">
        <v>2022</v>
      </c>
      <c r="B49">
        <v>3</v>
      </c>
      <c r="C49" t="s">
        <v>64</v>
      </c>
      <c r="D49" t="str">
        <f t="shared" si="0"/>
        <v>Mar</v>
      </c>
      <c r="E49">
        <v>1</v>
      </c>
      <c r="F49" t="s">
        <v>14</v>
      </c>
      <c r="G49" t="s">
        <v>19</v>
      </c>
      <c r="H49">
        <v>3287</v>
      </c>
      <c r="I49">
        <v>4053</v>
      </c>
      <c r="J49">
        <v>49563.47</v>
      </c>
      <c r="K49">
        <v>37057.47</v>
      </c>
      <c r="L49">
        <v>12506</v>
      </c>
      <c r="M49">
        <v>32.42</v>
      </c>
      <c r="N49" s="1" t="s">
        <v>72</v>
      </c>
    </row>
    <row r="50" spans="1:14" x14ac:dyDescent="0.25">
      <c r="A50">
        <v>2022</v>
      </c>
      <c r="B50">
        <v>3</v>
      </c>
      <c r="C50" t="s">
        <v>64</v>
      </c>
      <c r="D50" t="str">
        <f t="shared" si="0"/>
        <v>Mar</v>
      </c>
      <c r="E50">
        <v>1</v>
      </c>
      <c r="F50" t="s">
        <v>23</v>
      </c>
      <c r="G50" t="s">
        <v>19</v>
      </c>
      <c r="H50">
        <v>5901</v>
      </c>
      <c r="I50">
        <v>7007</v>
      </c>
      <c r="J50">
        <v>139841.93</v>
      </c>
      <c r="K50">
        <v>109771.93</v>
      </c>
      <c r="L50">
        <v>30070</v>
      </c>
      <c r="M50">
        <v>25.13</v>
      </c>
      <c r="N50" s="1" t="s">
        <v>73</v>
      </c>
    </row>
    <row r="51" spans="1:14" x14ac:dyDescent="0.25">
      <c r="A51">
        <v>2022</v>
      </c>
      <c r="B51">
        <v>3</v>
      </c>
      <c r="C51" t="s">
        <v>64</v>
      </c>
      <c r="D51" t="str">
        <f t="shared" si="0"/>
        <v>Mar</v>
      </c>
      <c r="E51">
        <v>1</v>
      </c>
      <c r="F51" t="s">
        <v>17</v>
      </c>
      <c r="G51" t="s">
        <v>19</v>
      </c>
      <c r="H51">
        <v>3132</v>
      </c>
      <c r="I51">
        <v>4493</v>
      </c>
      <c r="J51">
        <v>70727.070000000007</v>
      </c>
      <c r="K51">
        <v>35704.07</v>
      </c>
      <c r="L51">
        <v>35023</v>
      </c>
      <c r="M51">
        <v>50.45</v>
      </c>
      <c r="N51" s="1" t="s">
        <v>74</v>
      </c>
    </row>
    <row r="52" spans="1:14" x14ac:dyDescent="0.25">
      <c r="A52">
        <v>2022</v>
      </c>
      <c r="B52">
        <v>3</v>
      </c>
      <c r="C52" t="s">
        <v>64</v>
      </c>
      <c r="D52" t="str">
        <f t="shared" si="0"/>
        <v>Mar</v>
      </c>
      <c r="E52">
        <v>1</v>
      </c>
      <c r="F52" t="s">
        <v>23</v>
      </c>
      <c r="G52" t="s">
        <v>15</v>
      </c>
      <c r="H52">
        <v>703</v>
      </c>
      <c r="I52">
        <v>842</v>
      </c>
      <c r="J52">
        <v>17101.580000000002</v>
      </c>
      <c r="K52">
        <v>13518.58</v>
      </c>
      <c r="L52">
        <v>3583</v>
      </c>
      <c r="M52">
        <v>27.13</v>
      </c>
      <c r="N52" s="1" t="s">
        <v>75</v>
      </c>
    </row>
    <row r="53" spans="1:14" x14ac:dyDescent="0.25">
      <c r="A53">
        <v>2022</v>
      </c>
      <c r="B53">
        <v>3</v>
      </c>
      <c r="C53" t="s">
        <v>64</v>
      </c>
      <c r="D53" t="str">
        <f t="shared" si="0"/>
        <v>Mar</v>
      </c>
      <c r="E53">
        <v>1</v>
      </c>
      <c r="F53" t="s">
        <v>14</v>
      </c>
      <c r="G53" t="s">
        <v>15</v>
      </c>
      <c r="H53">
        <v>588</v>
      </c>
      <c r="I53">
        <v>1007</v>
      </c>
      <c r="J53">
        <v>10475.93</v>
      </c>
      <c r="K53">
        <v>6763.93</v>
      </c>
      <c r="L53">
        <v>3712</v>
      </c>
      <c r="M53">
        <v>36.840000000000003</v>
      </c>
      <c r="N53" s="1" t="s">
        <v>76</v>
      </c>
    </row>
    <row r="54" spans="1:14" x14ac:dyDescent="0.25">
      <c r="A54">
        <v>2022</v>
      </c>
      <c r="B54">
        <v>3</v>
      </c>
      <c r="C54" t="s">
        <v>64</v>
      </c>
      <c r="D54" t="str">
        <f t="shared" si="0"/>
        <v>Mar</v>
      </c>
      <c r="E54">
        <v>1</v>
      </c>
      <c r="F54" t="s">
        <v>14</v>
      </c>
      <c r="G54" t="s">
        <v>21</v>
      </c>
      <c r="H54">
        <v>756</v>
      </c>
      <c r="I54">
        <v>911</v>
      </c>
      <c r="J54">
        <v>10333.89</v>
      </c>
      <c r="K54">
        <v>7406.89</v>
      </c>
      <c r="L54">
        <v>2927</v>
      </c>
      <c r="M54">
        <v>34.67</v>
      </c>
      <c r="N54" s="1" t="s">
        <v>77</v>
      </c>
    </row>
    <row r="55" spans="1:14" x14ac:dyDescent="0.25">
      <c r="A55">
        <v>2022</v>
      </c>
      <c r="B55">
        <v>3</v>
      </c>
      <c r="C55" t="s">
        <v>64</v>
      </c>
      <c r="D55" t="str">
        <f t="shared" si="0"/>
        <v>Mar</v>
      </c>
      <c r="E55">
        <v>1</v>
      </c>
      <c r="F55" t="s">
        <v>28</v>
      </c>
      <c r="G55" t="s">
        <v>26</v>
      </c>
      <c r="H55">
        <v>976</v>
      </c>
      <c r="I55">
        <v>1183</v>
      </c>
      <c r="J55">
        <v>15323.17</v>
      </c>
      <c r="K55">
        <v>12023.17</v>
      </c>
      <c r="L55">
        <v>3300</v>
      </c>
      <c r="M55">
        <v>20.260000000000002</v>
      </c>
      <c r="N55" s="1" t="s">
        <v>78</v>
      </c>
    </row>
    <row r="56" spans="1:14" x14ac:dyDescent="0.25">
      <c r="A56">
        <v>2022</v>
      </c>
      <c r="B56">
        <v>3</v>
      </c>
      <c r="C56" t="s">
        <v>64</v>
      </c>
      <c r="D56" t="str">
        <f t="shared" si="0"/>
        <v>Mar</v>
      </c>
      <c r="E56">
        <v>1</v>
      </c>
      <c r="F56" t="s">
        <v>17</v>
      </c>
      <c r="G56" t="s">
        <v>15</v>
      </c>
      <c r="H56">
        <v>499</v>
      </c>
      <c r="I56">
        <v>945</v>
      </c>
      <c r="J56">
        <v>15276.55</v>
      </c>
      <c r="K56">
        <v>8019.55</v>
      </c>
      <c r="L56">
        <v>7257</v>
      </c>
      <c r="M56">
        <v>48.44</v>
      </c>
      <c r="N56" s="1" t="s">
        <v>79</v>
      </c>
    </row>
    <row r="57" spans="1:14" x14ac:dyDescent="0.25">
      <c r="A57">
        <v>2022</v>
      </c>
      <c r="B57">
        <v>3</v>
      </c>
      <c r="C57" t="s">
        <v>64</v>
      </c>
      <c r="D57" t="str">
        <f t="shared" si="0"/>
        <v>Mar</v>
      </c>
      <c r="E57">
        <v>1</v>
      </c>
      <c r="F57" t="s">
        <v>25</v>
      </c>
      <c r="G57" t="s">
        <v>26</v>
      </c>
      <c r="H57">
        <v>1006</v>
      </c>
      <c r="I57">
        <v>1191</v>
      </c>
      <c r="J57">
        <v>11375.09</v>
      </c>
      <c r="K57">
        <v>8014.09</v>
      </c>
      <c r="L57">
        <v>3361</v>
      </c>
      <c r="M57">
        <v>29.7</v>
      </c>
      <c r="N57" s="1" t="s">
        <v>80</v>
      </c>
    </row>
    <row r="58" spans="1:14" x14ac:dyDescent="0.25">
      <c r="A58">
        <v>2022</v>
      </c>
      <c r="B58">
        <v>3</v>
      </c>
      <c r="C58" t="s">
        <v>64</v>
      </c>
      <c r="D58" t="str">
        <f t="shared" si="0"/>
        <v>Mar</v>
      </c>
      <c r="E58">
        <v>1</v>
      </c>
      <c r="F58" t="s">
        <v>28</v>
      </c>
      <c r="G58" t="s">
        <v>15</v>
      </c>
      <c r="H58">
        <v>359</v>
      </c>
      <c r="I58">
        <v>482</v>
      </c>
      <c r="J58">
        <v>6267.18</v>
      </c>
      <c r="K58">
        <v>5018.18</v>
      </c>
      <c r="L58">
        <v>1249</v>
      </c>
      <c r="M58">
        <v>18.100000000000001</v>
      </c>
      <c r="N58" s="1" t="s">
        <v>81</v>
      </c>
    </row>
    <row r="59" spans="1:14" x14ac:dyDescent="0.25">
      <c r="A59">
        <v>2022</v>
      </c>
      <c r="B59">
        <v>3</v>
      </c>
      <c r="C59" t="s">
        <v>64</v>
      </c>
      <c r="D59" t="str">
        <f t="shared" si="0"/>
        <v>Mar</v>
      </c>
      <c r="E59">
        <v>1</v>
      </c>
      <c r="F59" t="s">
        <v>17</v>
      </c>
      <c r="G59" t="s">
        <v>21</v>
      </c>
      <c r="H59">
        <v>595</v>
      </c>
      <c r="I59">
        <v>880</v>
      </c>
      <c r="J59">
        <v>13840.2</v>
      </c>
      <c r="K59">
        <v>6977.2</v>
      </c>
      <c r="L59">
        <v>6863</v>
      </c>
      <c r="M59">
        <v>49.98</v>
      </c>
      <c r="N59" s="1" t="s">
        <v>82</v>
      </c>
    </row>
    <row r="60" spans="1:14" x14ac:dyDescent="0.25">
      <c r="A60">
        <v>2022</v>
      </c>
      <c r="B60">
        <v>3</v>
      </c>
      <c r="C60" t="s">
        <v>64</v>
      </c>
      <c r="D60" t="str">
        <f t="shared" si="0"/>
        <v>Mar</v>
      </c>
      <c r="E60">
        <v>1</v>
      </c>
      <c r="F60" t="s">
        <v>25</v>
      </c>
      <c r="G60" t="s">
        <v>15</v>
      </c>
      <c r="H60">
        <v>297</v>
      </c>
      <c r="I60">
        <v>413</v>
      </c>
      <c r="J60">
        <v>3325.87</v>
      </c>
      <c r="K60">
        <v>2337.87</v>
      </c>
      <c r="L60">
        <v>988</v>
      </c>
      <c r="M60">
        <v>29.04</v>
      </c>
      <c r="N60" s="1" t="s">
        <v>83</v>
      </c>
    </row>
    <row r="61" spans="1:14" x14ac:dyDescent="0.25">
      <c r="A61">
        <v>2022</v>
      </c>
      <c r="B61">
        <v>3</v>
      </c>
      <c r="C61" t="s">
        <v>64</v>
      </c>
      <c r="D61" t="str">
        <f t="shared" si="0"/>
        <v>Mar</v>
      </c>
      <c r="E61">
        <v>1</v>
      </c>
      <c r="F61" t="s">
        <v>23</v>
      </c>
      <c r="G61" t="s">
        <v>21</v>
      </c>
      <c r="H61">
        <v>1282</v>
      </c>
      <c r="I61">
        <v>1501</v>
      </c>
      <c r="J61">
        <v>30594.99</v>
      </c>
      <c r="K61">
        <v>23993.99</v>
      </c>
      <c r="L61">
        <v>6601</v>
      </c>
      <c r="M61">
        <v>25.74</v>
      </c>
      <c r="N61" s="1" t="s">
        <v>84</v>
      </c>
    </row>
    <row r="62" spans="1:14" x14ac:dyDescent="0.25">
      <c r="A62">
        <v>2022</v>
      </c>
      <c r="B62">
        <v>4</v>
      </c>
      <c r="C62" t="s">
        <v>85</v>
      </c>
      <c r="D62" t="str">
        <f t="shared" si="0"/>
        <v>Apr</v>
      </c>
      <c r="E62">
        <v>2</v>
      </c>
      <c r="F62" t="s">
        <v>25</v>
      </c>
      <c r="G62" t="s">
        <v>19</v>
      </c>
      <c r="H62">
        <v>3467</v>
      </c>
      <c r="I62">
        <v>4115</v>
      </c>
      <c r="J62">
        <v>34692.85</v>
      </c>
      <c r="K62">
        <v>24482.85</v>
      </c>
      <c r="L62">
        <v>10210</v>
      </c>
      <c r="M62">
        <v>29.43</v>
      </c>
      <c r="N62" s="1" t="s">
        <v>86</v>
      </c>
    </row>
    <row r="63" spans="1:14" x14ac:dyDescent="0.25">
      <c r="A63">
        <v>2022</v>
      </c>
      <c r="B63">
        <v>4</v>
      </c>
      <c r="C63" t="s">
        <v>85</v>
      </c>
      <c r="D63" t="str">
        <f t="shared" si="0"/>
        <v>Apr</v>
      </c>
      <c r="E63">
        <v>2</v>
      </c>
      <c r="F63" t="s">
        <v>17</v>
      </c>
      <c r="G63" t="s">
        <v>15</v>
      </c>
      <c r="H63">
        <v>490</v>
      </c>
      <c r="I63">
        <v>1077</v>
      </c>
      <c r="J63">
        <v>16386.23</v>
      </c>
      <c r="K63">
        <v>7836.23</v>
      </c>
      <c r="L63">
        <v>8550</v>
      </c>
      <c r="M63">
        <v>52.25</v>
      </c>
      <c r="N63" s="1" t="s">
        <v>87</v>
      </c>
    </row>
    <row r="64" spans="1:14" x14ac:dyDescent="0.25">
      <c r="A64">
        <v>2022</v>
      </c>
      <c r="B64">
        <v>4</v>
      </c>
      <c r="C64" t="s">
        <v>85</v>
      </c>
      <c r="D64" t="str">
        <f t="shared" si="0"/>
        <v>Apr</v>
      </c>
      <c r="E64">
        <v>2</v>
      </c>
      <c r="F64" t="s">
        <v>14</v>
      </c>
      <c r="G64" t="s">
        <v>26</v>
      </c>
      <c r="H64">
        <v>1689</v>
      </c>
      <c r="I64">
        <v>2007</v>
      </c>
      <c r="J64">
        <v>22392.93</v>
      </c>
      <c r="K64">
        <v>16237.93</v>
      </c>
      <c r="L64">
        <v>6155</v>
      </c>
      <c r="M64">
        <v>33.33</v>
      </c>
      <c r="N64" s="1" t="s">
        <v>88</v>
      </c>
    </row>
    <row r="65" spans="1:14" x14ac:dyDescent="0.25">
      <c r="A65">
        <v>2022</v>
      </c>
      <c r="B65">
        <v>4</v>
      </c>
      <c r="C65" t="s">
        <v>85</v>
      </c>
      <c r="D65" t="str">
        <f t="shared" si="0"/>
        <v>Apr</v>
      </c>
      <c r="E65">
        <v>2</v>
      </c>
      <c r="F65" t="s">
        <v>17</v>
      </c>
      <c r="G65" t="s">
        <v>26</v>
      </c>
      <c r="H65">
        <v>1629</v>
      </c>
      <c r="I65">
        <v>2411</v>
      </c>
      <c r="J65">
        <v>38505.89</v>
      </c>
      <c r="K65">
        <v>19862.89</v>
      </c>
      <c r="L65">
        <v>18643</v>
      </c>
      <c r="M65">
        <v>48.86</v>
      </c>
      <c r="N65" s="1" t="s">
        <v>89</v>
      </c>
    </row>
    <row r="66" spans="1:14" x14ac:dyDescent="0.25">
      <c r="A66">
        <v>2022</v>
      </c>
      <c r="B66">
        <v>4</v>
      </c>
      <c r="C66" t="s">
        <v>85</v>
      </c>
      <c r="D66" t="str">
        <f t="shared" ref="D66:D129" si="1">LEFT(C66,3)</f>
        <v>Apr</v>
      </c>
      <c r="E66">
        <v>2</v>
      </c>
      <c r="F66" t="s">
        <v>23</v>
      </c>
      <c r="G66" t="s">
        <v>19</v>
      </c>
      <c r="H66">
        <v>6307</v>
      </c>
      <c r="I66">
        <v>8134</v>
      </c>
      <c r="J66">
        <v>162815.66</v>
      </c>
      <c r="K66">
        <v>129509.66</v>
      </c>
      <c r="L66">
        <v>33306</v>
      </c>
      <c r="M66">
        <v>24.57</v>
      </c>
      <c r="N66" s="1" t="s">
        <v>90</v>
      </c>
    </row>
    <row r="67" spans="1:14" x14ac:dyDescent="0.25">
      <c r="A67">
        <v>2022</v>
      </c>
      <c r="B67">
        <v>4</v>
      </c>
      <c r="C67" t="s">
        <v>85</v>
      </c>
      <c r="D67" t="str">
        <f t="shared" si="1"/>
        <v>Apr</v>
      </c>
      <c r="E67">
        <v>2</v>
      </c>
      <c r="F67" t="s">
        <v>25</v>
      </c>
      <c r="G67" t="s">
        <v>21</v>
      </c>
      <c r="H67">
        <v>917</v>
      </c>
      <c r="I67">
        <v>987</v>
      </c>
      <c r="J67">
        <v>9445.1299999999992</v>
      </c>
      <c r="K67">
        <v>6648.13</v>
      </c>
      <c r="L67">
        <v>2797</v>
      </c>
      <c r="M67">
        <v>29.62</v>
      </c>
      <c r="N67" s="1" t="s">
        <v>91</v>
      </c>
    </row>
    <row r="68" spans="1:14" x14ac:dyDescent="0.25">
      <c r="A68">
        <v>2022</v>
      </c>
      <c r="B68">
        <v>4</v>
      </c>
      <c r="C68" t="s">
        <v>85</v>
      </c>
      <c r="D68" t="str">
        <f t="shared" si="1"/>
        <v>Apr</v>
      </c>
      <c r="E68">
        <v>2</v>
      </c>
      <c r="F68" t="s">
        <v>28</v>
      </c>
      <c r="G68" t="s">
        <v>21</v>
      </c>
      <c r="H68">
        <v>641</v>
      </c>
      <c r="I68">
        <v>785</v>
      </c>
      <c r="J68">
        <v>9713.15</v>
      </c>
      <c r="K68">
        <v>7686.15</v>
      </c>
      <c r="L68">
        <v>2027</v>
      </c>
      <c r="M68">
        <v>19.77</v>
      </c>
      <c r="N68" s="1" t="s">
        <v>92</v>
      </c>
    </row>
    <row r="69" spans="1:14" x14ac:dyDescent="0.25">
      <c r="A69">
        <v>2022</v>
      </c>
      <c r="B69">
        <v>4</v>
      </c>
      <c r="C69" t="s">
        <v>85</v>
      </c>
      <c r="D69" t="str">
        <f t="shared" si="1"/>
        <v>Apr</v>
      </c>
      <c r="E69">
        <v>2</v>
      </c>
      <c r="F69" t="s">
        <v>23</v>
      </c>
      <c r="G69" t="s">
        <v>26</v>
      </c>
      <c r="H69">
        <v>2581</v>
      </c>
      <c r="I69">
        <v>3485</v>
      </c>
      <c r="J69">
        <v>71937.149999999994</v>
      </c>
      <c r="K69">
        <v>57655.15</v>
      </c>
      <c r="L69">
        <v>14282</v>
      </c>
      <c r="M69">
        <v>24.24</v>
      </c>
      <c r="N69" s="1" t="s">
        <v>93</v>
      </c>
    </row>
    <row r="70" spans="1:14" x14ac:dyDescent="0.25">
      <c r="A70">
        <v>2022</v>
      </c>
      <c r="B70">
        <v>4</v>
      </c>
      <c r="C70" t="s">
        <v>85</v>
      </c>
      <c r="D70" t="str">
        <f t="shared" si="1"/>
        <v>Apr</v>
      </c>
      <c r="E70">
        <v>2</v>
      </c>
      <c r="F70" t="s">
        <v>14</v>
      </c>
      <c r="G70" t="s">
        <v>21</v>
      </c>
      <c r="H70">
        <v>874</v>
      </c>
      <c r="I70">
        <v>991</v>
      </c>
      <c r="J70">
        <v>10546.09</v>
      </c>
      <c r="K70">
        <v>7454.09</v>
      </c>
      <c r="L70">
        <v>3092</v>
      </c>
      <c r="M70">
        <v>34.61</v>
      </c>
      <c r="N70" s="1" t="s">
        <v>94</v>
      </c>
    </row>
    <row r="71" spans="1:14" x14ac:dyDescent="0.25">
      <c r="A71">
        <v>2022</v>
      </c>
      <c r="B71">
        <v>4</v>
      </c>
      <c r="C71" t="s">
        <v>85</v>
      </c>
      <c r="D71" t="str">
        <f t="shared" si="1"/>
        <v>Apr</v>
      </c>
      <c r="E71">
        <v>2</v>
      </c>
      <c r="F71" t="s">
        <v>14</v>
      </c>
      <c r="G71" t="s">
        <v>15</v>
      </c>
      <c r="H71">
        <v>686</v>
      </c>
      <c r="I71">
        <v>902</v>
      </c>
      <c r="J71">
        <v>9198.98</v>
      </c>
      <c r="K71">
        <v>6120.98</v>
      </c>
      <c r="L71">
        <v>3078</v>
      </c>
      <c r="M71">
        <v>39.5</v>
      </c>
      <c r="N71" s="1" t="s">
        <v>95</v>
      </c>
    </row>
    <row r="72" spans="1:14" x14ac:dyDescent="0.25">
      <c r="A72">
        <v>2022</v>
      </c>
      <c r="B72">
        <v>4</v>
      </c>
      <c r="C72" t="s">
        <v>85</v>
      </c>
      <c r="D72" t="str">
        <f t="shared" si="1"/>
        <v>Apr</v>
      </c>
      <c r="E72">
        <v>2</v>
      </c>
      <c r="F72" t="s">
        <v>25</v>
      </c>
      <c r="G72" t="s">
        <v>15</v>
      </c>
      <c r="H72">
        <v>478</v>
      </c>
      <c r="I72">
        <v>680</v>
      </c>
      <c r="J72">
        <v>6236.2</v>
      </c>
      <c r="K72">
        <v>4441.2</v>
      </c>
      <c r="L72">
        <v>1795</v>
      </c>
      <c r="M72">
        <v>27.49</v>
      </c>
      <c r="N72" s="1" t="s">
        <v>96</v>
      </c>
    </row>
    <row r="73" spans="1:14" x14ac:dyDescent="0.25">
      <c r="A73">
        <v>2022</v>
      </c>
      <c r="B73">
        <v>4</v>
      </c>
      <c r="C73" t="s">
        <v>85</v>
      </c>
      <c r="D73" t="str">
        <f t="shared" si="1"/>
        <v>Apr</v>
      </c>
      <c r="E73">
        <v>2</v>
      </c>
      <c r="F73" t="s">
        <v>23</v>
      </c>
      <c r="G73" t="s">
        <v>15</v>
      </c>
      <c r="H73">
        <v>678</v>
      </c>
      <c r="I73">
        <v>898</v>
      </c>
      <c r="J73">
        <v>14884.02</v>
      </c>
      <c r="K73">
        <v>11600.02</v>
      </c>
      <c r="L73">
        <v>3284</v>
      </c>
      <c r="M73">
        <v>25.62</v>
      </c>
      <c r="N73" s="1" t="s">
        <v>97</v>
      </c>
    </row>
    <row r="74" spans="1:14" x14ac:dyDescent="0.25">
      <c r="A74">
        <v>2022</v>
      </c>
      <c r="B74">
        <v>4</v>
      </c>
      <c r="C74" t="s">
        <v>85</v>
      </c>
      <c r="D74" t="str">
        <f t="shared" si="1"/>
        <v>Apr</v>
      </c>
      <c r="E74">
        <v>2</v>
      </c>
      <c r="F74" t="s">
        <v>28</v>
      </c>
      <c r="G74" t="s">
        <v>19</v>
      </c>
      <c r="H74">
        <v>3729</v>
      </c>
      <c r="I74">
        <v>5251</v>
      </c>
      <c r="J74">
        <v>64543.49</v>
      </c>
      <c r="K74">
        <v>50294.49</v>
      </c>
      <c r="L74">
        <v>14249</v>
      </c>
      <c r="M74">
        <v>20.85</v>
      </c>
      <c r="N74" s="1" t="s">
        <v>98</v>
      </c>
    </row>
    <row r="75" spans="1:14" x14ac:dyDescent="0.25">
      <c r="A75">
        <v>2022</v>
      </c>
      <c r="B75">
        <v>4</v>
      </c>
      <c r="C75" t="s">
        <v>85</v>
      </c>
      <c r="D75" t="str">
        <f t="shared" si="1"/>
        <v>Apr</v>
      </c>
      <c r="E75">
        <v>2</v>
      </c>
      <c r="F75" t="s">
        <v>25</v>
      </c>
      <c r="G75" t="s">
        <v>26</v>
      </c>
      <c r="H75">
        <v>1131</v>
      </c>
      <c r="I75">
        <v>1514</v>
      </c>
      <c r="J75">
        <v>14969.86</v>
      </c>
      <c r="K75">
        <v>10520.86</v>
      </c>
      <c r="L75">
        <v>4449</v>
      </c>
      <c r="M75">
        <v>29.41</v>
      </c>
      <c r="N75" s="1" t="s">
        <v>99</v>
      </c>
    </row>
    <row r="76" spans="1:14" x14ac:dyDescent="0.25">
      <c r="A76">
        <v>2022</v>
      </c>
      <c r="B76">
        <v>4</v>
      </c>
      <c r="C76" t="s">
        <v>85</v>
      </c>
      <c r="D76" t="str">
        <f t="shared" si="1"/>
        <v>Apr</v>
      </c>
      <c r="E76">
        <v>2</v>
      </c>
      <c r="F76" t="s">
        <v>28</v>
      </c>
      <c r="G76" t="s">
        <v>26</v>
      </c>
      <c r="H76">
        <v>1343</v>
      </c>
      <c r="I76">
        <v>1764</v>
      </c>
      <c r="J76">
        <v>21594.36</v>
      </c>
      <c r="K76">
        <v>17035.36</v>
      </c>
      <c r="L76">
        <v>4559</v>
      </c>
      <c r="M76">
        <v>20.18</v>
      </c>
      <c r="N76" s="1" t="s">
        <v>100</v>
      </c>
    </row>
    <row r="77" spans="1:14" x14ac:dyDescent="0.25">
      <c r="A77">
        <v>2022</v>
      </c>
      <c r="B77">
        <v>4</v>
      </c>
      <c r="C77" t="s">
        <v>85</v>
      </c>
      <c r="D77" t="str">
        <f t="shared" si="1"/>
        <v>Apr</v>
      </c>
      <c r="E77">
        <v>2</v>
      </c>
      <c r="F77" t="s">
        <v>28</v>
      </c>
      <c r="G77" t="s">
        <v>15</v>
      </c>
      <c r="H77">
        <v>443</v>
      </c>
      <c r="I77">
        <v>582</v>
      </c>
      <c r="J77">
        <v>7882.18</v>
      </c>
      <c r="K77">
        <v>6269.18</v>
      </c>
      <c r="L77">
        <v>1613</v>
      </c>
      <c r="M77">
        <v>19.3</v>
      </c>
      <c r="N77" s="1" t="s">
        <v>101</v>
      </c>
    </row>
    <row r="78" spans="1:14" x14ac:dyDescent="0.25">
      <c r="A78">
        <v>2022</v>
      </c>
      <c r="B78">
        <v>4</v>
      </c>
      <c r="C78" t="s">
        <v>85</v>
      </c>
      <c r="D78" t="str">
        <f t="shared" si="1"/>
        <v>Apr</v>
      </c>
      <c r="E78">
        <v>2</v>
      </c>
      <c r="F78" t="s">
        <v>17</v>
      </c>
      <c r="G78" t="s">
        <v>21</v>
      </c>
      <c r="H78">
        <v>456</v>
      </c>
      <c r="I78">
        <v>667</v>
      </c>
      <c r="J78">
        <v>10768.33</v>
      </c>
      <c r="K78">
        <v>5642.33</v>
      </c>
      <c r="L78">
        <v>5126</v>
      </c>
      <c r="M78">
        <v>48.27</v>
      </c>
      <c r="N78" s="1" t="s">
        <v>102</v>
      </c>
    </row>
    <row r="79" spans="1:14" x14ac:dyDescent="0.25">
      <c r="A79">
        <v>2022</v>
      </c>
      <c r="B79">
        <v>4</v>
      </c>
      <c r="C79" t="s">
        <v>85</v>
      </c>
      <c r="D79" t="str">
        <f t="shared" si="1"/>
        <v>Apr</v>
      </c>
      <c r="E79">
        <v>2</v>
      </c>
      <c r="F79" t="s">
        <v>14</v>
      </c>
      <c r="G79" t="s">
        <v>19</v>
      </c>
      <c r="H79">
        <v>4004</v>
      </c>
      <c r="I79">
        <v>5191</v>
      </c>
      <c r="J79">
        <v>58026.09</v>
      </c>
      <c r="K79">
        <v>41950.09</v>
      </c>
      <c r="L79">
        <v>16076</v>
      </c>
      <c r="M79">
        <v>33.700000000000003</v>
      </c>
      <c r="N79" s="1" t="s">
        <v>103</v>
      </c>
    </row>
    <row r="80" spans="1:14" x14ac:dyDescent="0.25">
      <c r="A80">
        <v>2022</v>
      </c>
      <c r="B80">
        <v>4</v>
      </c>
      <c r="C80" t="s">
        <v>85</v>
      </c>
      <c r="D80" t="str">
        <f t="shared" si="1"/>
        <v>Apr</v>
      </c>
      <c r="E80">
        <v>2</v>
      </c>
      <c r="F80" t="s">
        <v>17</v>
      </c>
      <c r="G80" t="s">
        <v>19</v>
      </c>
      <c r="H80">
        <v>2734</v>
      </c>
      <c r="I80">
        <v>3869</v>
      </c>
      <c r="J80">
        <v>62946.31</v>
      </c>
      <c r="K80">
        <v>33344.31</v>
      </c>
      <c r="L80">
        <v>29602</v>
      </c>
      <c r="M80">
        <v>48.74</v>
      </c>
      <c r="N80" s="1" t="s">
        <v>70</v>
      </c>
    </row>
    <row r="81" spans="1:14" x14ac:dyDescent="0.25">
      <c r="A81">
        <v>2022</v>
      </c>
      <c r="B81">
        <v>4</v>
      </c>
      <c r="C81" t="s">
        <v>85</v>
      </c>
      <c r="D81" t="str">
        <f t="shared" si="1"/>
        <v>Apr</v>
      </c>
      <c r="E81">
        <v>2</v>
      </c>
      <c r="F81" t="s">
        <v>23</v>
      </c>
      <c r="G81" t="s">
        <v>21</v>
      </c>
      <c r="H81">
        <v>1439</v>
      </c>
      <c r="I81">
        <v>1792</v>
      </c>
      <c r="J81">
        <v>33588.080000000002</v>
      </c>
      <c r="K81">
        <v>26382.080000000002</v>
      </c>
      <c r="L81">
        <v>7206</v>
      </c>
      <c r="M81">
        <v>24.76</v>
      </c>
      <c r="N81" s="1" t="s">
        <v>104</v>
      </c>
    </row>
    <row r="82" spans="1:14" x14ac:dyDescent="0.25">
      <c r="A82">
        <v>2022</v>
      </c>
      <c r="B82">
        <v>5</v>
      </c>
      <c r="C82" t="s">
        <v>105</v>
      </c>
      <c r="D82" t="str">
        <f t="shared" si="1"/>
        <v>May</v>
      </c>
      <c r="E82">
        <v>2</v>
      </c>
      <c r="F82" t="s">
        <v>28</v>
      </c>
      <c r="G82" t="s">
        <v>19</v>
      </c>
      <c r="H82">
        <v>3434</v>
      </c>
      <c r="I82">
        <v>4298</v>
      </c>
      <c r="J82">
        <v>55592.02</v>
      </c>
      <c r="K82">
        <v>42196.02</v>
      </c>
      <c r="L82">
        <v>13396</v>
      </c>
      <c r="M82">
        <v>21.23</v>
      </c>
      <c r="N82" s="1" t="s">
        <v>106</v>
      </c>
    </row>
    <row r="83" spans="1:14" x14ac:dyDescent="0.25">
      <c r="A83">
        <v>2022</v>
      </c>
      <c r="B83">
        <v>5</v>
      </c>
      <c r="C83" t="s">
        <v>105</v>
      </c>
      <c r="D83" t="str">
        <f t="shared" si="1"/>
        <v>May</v>
      </c>
      <c r="E83">
        <v>2</v>
      </c>
      <c r="F83" t="s">
        <v>17</v>
      </c>
      <c r="G83" t="s">
        <v>15</v>
      </c>
      <c r="H83">
        <v>623</v>
      </c>
      <c r="I83">
        <v>1102</v>
      </c>
      <c r="J83">
        <v>17134.98</v>
      </c>
      <c r="K83">
        <v>8486.98</v>
      </c>
      <c r="L83">
        <v>8648</v>
      </c>
      <c r="M83">
        <v>50.29</v>
      </c>
      <c r="N83" s="1" t="s">
        <v>107</v>
      </c>
    </row>
    <row r="84" spans="1:14" x14ac:dyDescent="0.25">
      <c r="A84">
        <v>2022</v>
      </c>
      <c r="B84">
        <v>5</v>
      </c>
      <c r="C84" t="s">
        <v>105</v>
      </c>
      <c r="D84" t="str">
        <f t="shared" si="1"/>
        <v>May</v>
      </c>
      <c r="E84">
        <v>2</v>
      </c>
      <c r="F84" t="s">
        <v>17</v>
      </c>
      <c r="G84" t="s">
        <v>21</v>
      </c>
      <c r="H84">
        <v>493</v>
      </c>
      <c r="I84">
        <v>637</v>
      </c>
      <c r="J84">
        <v>10296.629999999999</v>
      </c>
      <c r="K84">
        <v>5404.63</v>
      </c>
      <c r="L84">
        <v>4892</v>
      </c>
      <c r="M84">
        <v>49.21</v>
      </c>
      <c r="N84" s="1" t="s">
        <v>108</v>
      </c>
    </row>
    <row r="85" spans="1:14" x14ac:dyDescent="0.25">
      <c r="A85">
        <v>2022</v>
      </c>
      <c r="B85">
        <v>5</v>
      </c>
      <c r="C85" t="s">
        <v>105</v>
      </c>
      <c r="D85" t="str">
        <f t="shared" si="1"/>
        <v>May</v>
      </c>
      <c r="E85">
        <v>2</v>
      </c>
      <c r="F85" t="s">
        <v>28</v>
      </c>
      <c r="G85" t="s">
        <v>15</v>
      </c>
      <c r="H85">
        <v>512</v>
      </c>
      <c r="I85">
        <v>647</v>
      </c>
      <c r="J85">
        <v>8743.5300000000007</v>
      </c>
      <c r="K85">
        <v>6829.53</v>
      </c>
      <c r="L85">
        <v>1914</v>
      </c>
      <c r="M85">
        <v>19</v>
      </c>
      <c r="N85" s="1" t="s">
        <v>109</v>
      </c>
    </row>
    <row r="86" spans="1:14" x14ac:dyDescent="0.25">
      <c r="A86">
        <v>2022</v>
      </c>
      <c r="B86">
        <v>5</v>
      </c>
      <c r="C86" t="s">
        <v>105</v>
      </c>
      <c r="D86" t="str">
        <f t="shared" si="1"/>
        <v>May</v>
      </c>
      <c r="E86">
        <v>2</v>
      </c>
      <c r="F86" t="s">
        <v>25</v>
      </c>
      <c r="G86" t="s">
        <v>26</v>
      </c>
      <c r="H86">
        <v>1300</v>
      </c>
      <c r="I86">
        <v>1496</v>
      </c>
      <c r="J86">
        <v>15561.04</v>
      </c>
      <c r="K86">
        <v>11297.04</v>
      </c>
      <c r="L86">
        <v>4264</v>
      </c>
      <c r="M86">
        <v>28.21</v>
      </c>
      <c r="N86" s="1" t="s">
        <v>110</v>
      </c>
    </row>
    <row r="87" spans="1:14" x14ac:dyDescent="0.25">
      <c r="A87">
        <v>2022</v>
      </c>
      <c r="B87">
        <v>5</v>
      </c>
      <c r="C87" t="s">
        <v>105</v>
      </c>
      <c r="D87" t="str">
        <f t="shared" si="1"/>
        <v>May</v>
      </c>
      <c r="E87">
        <v>2</v>
      </c>
      <c r="F87" t="s">
        <v>14</v>
      </c>
      <c r="G87" t="s">
        <v>21</v>
      </c>
      <c r="H87">
        <v>750</v>
      </c>
      <c r="I87">
        <v>893</v>
      </c>
      <c r="J87">
        <v>9192.07</v>
      </c>
      <c r="K87">
        <v>6039.07</v>
      </c>
      <c r="L87">
        <v>3153</v>
      </c>
      <c r="M87">
        <v>38.270000000000003</v>
      </c>
      <c r="N87" s="1" t="s">
        <v>111</v>
      </c>
    </row>
    <row r="88" spans="1:14" x14ac:dyDescent="0.25">
      <c r="A88">
        <v>2022</v>
      </c>
      <c r="B88">
        <v>5</v>
      </c>
      <c r="C88" t="s">
        <v>105</v>
      </c>
      <c r="D88" t="str">
        <f t="shared" si="1"/>
        <v>May</v>
      </c>
      <c r="E88">
        <v>2</v>
      </c>
      <c r="F88" t="s">
        <v>14</v>
      </c>
      <c r="G88" t="s">
        <v>26</v>
      </c>
      <c r="H88">
        <v>1620</v>
      </c>
      <c r="I88">
        <v>1962</v>
      </c>
      <c r="J88">
        <v>19949.38</v>
      </c>
      <c r="K88">
        <v>12897.38</v>
      </c>
      <c r="L88">
        <v>7052</v>
      </c>
      <c r="M88">
        <v>41</v>
      </c>
      <c r="N88" s="1" t="s">
        <v>112</v>
      </c>
    </row>
    <row r="89" spans="1:14" x14ac:dyDescent="0.25">
      <c r="A89">
        <v>2022</v>
      </c>
      <c r="B89">
        <v>5</v>
      </c>
      <c r="C89" t="s">
        <v>105</v>
      </c>
      <c r="D89" t="str">
        <f t="shared" si="1"/>
        <v>May</v>
      </c>
      <c r="E89">
        <v>2</v>
      </c>
      <c r="F89" t="s">
        <v>25</v>
      </c>
      <c r="G89" t="s">
        <v>21</v>
      </c>
      <c r="H89">
        <v>813</v>
      </c>
      <c r="I89">
        <v>927</v>
      </c>
      <c r="J89">
        <v>9061.73</v>
      </c>
      <c r="K89">
        <v>6517.73</v>
      </c>
      <c r="L89">
        <v>2544</v>
      </c>
      <c r="M89">
        <v>28.19</v>
      </c>
      <c r="N89" s="1" t="s">
        <v>113</v>
      </c>
    </row>
    <row r="90" spans="1:14" x14ac:dyDescent="0.25">
      <c r="A90">
        <v>2022</v>
      </c>
      <c r="B90">
        <v>5</v>
      </c>
      <c r="C90" t="s">
        <v>105</v>
      </c>
      <c r="D90" t="str">
        <f t="shared" si="1"/>
        <v>May</v>
      </c>
      <c r="E90">
        <v>2</v>
      </c>
      <c r="F90" t="s">
        <v>17</v>
      </c>
      <c r="G90" t="s">
        <v>19</v>
      </c>
      <c r="H90">
        <v>2686</v>
      </c>
      <c r="I90">
        <v>3773</v>
      </c>
      <c r="J90">
        <v>59373.27</v>
      </c>
      <c r="K90">
        <v>29957.27</v>
      </c>
      <c r="L90">
        <v>29416</v>
      </c>
      <c r="M90">
        <v>50.51</v>
      </c>
      <c r="N90" s="1" t="s">
        <v>114</v>
      </c>
    </row>
    <row r="91" spans="1:14" x14ac:dyDescent="0.25">
      <c r="A91">
        <v>2022</v>
      </c>
      <c r="B91">
        <v>5</v>
      </c>
      <c r="C91" t="s">
        <v>105</v>
      </c>
      <c r="D91" t="str">
        <f t="shared" si="1"/>
        <v>May</v>
      </c>
      <c r="E91">
        <v>2</v>
      </c>
      <c r="F91" t="s">
        <v>25</v>
      </c>
      <c r="G91" t="s">
        <v>15</v>
      </c>
      <c r="H91">
        <v>460</v>
      </c>
      <c r="I91">
        <v>637</v>
      </c>
      <c r="J91">
        <v>4637.63</v>
      </c>
      <c r="K91">
        <v>3484.63</v>
      </c>
      <c r="L91">
        <v>1153</v>
      </c>
      <c r="M91">
        <v>26.35</v>
      </c>
      <c r="N91" s="1" t="s">
        <v>115</v>
      </c>
    </row>
    <row r="92" spans="1:14" x14ac:dyDescent="0.25">
      <c r="A92">
        <v>2022</v>
      </c>
      <c r="B92">
        <v>5</v>
      </c>
      <c r="C92" t="s">
        <v>105</v>
      </c>
      <c r="D92" t="str">
        <f t="shared" si="1"/>
        <v>May</v>
      </c>
      <c r="E92">
        <v>2</v>
      </c>
      <c r="F92" t="s">
        <v>28</v>
      </c>
      <c r="G92" t="s">
        <v>21</v>
      </c>
      <c r="H92">
        <v>584</v>
      </c>
      <c r="I92">
        <v>681</v>
      </c>
      <c r="J92">
        <v>8937.19</v>
      </c>
      <c r="K92">
        <v>6569.19</v>
      </c>
      <c r="L92">
        <v>2368</v>
      </c>
      <c r="M92">
        <v>23</v>
      </c>
      <c r="N92" s="1" t="s">
        <v>116</v>
      </c>
    </row>
    <row r="93" spans="1:14" x14ac:dyDescent="0.25">
      <c r="A93">
        <v>2022</v>
      </c>
      <c r="B93">
        <v>5</v>
      </c>
      <c r="C93" t="s">
        <v>105</v>
      </c>
      <c r="D93" t="str">
        <f t="shared" si="1"/>
        <v>May</v>
      </c>
      <c r="E93">
        <v>2</v>
      </c>
      <c r="F93" t="s">
        <v>23</v>
      </c>
      <c r="G93" t="s">
        <v>26</v>
      </c>
      <c r="H93">
        <v>2733</v>
      </c>
      <c r="I93">
        <v>3340</v>
      </c>
      <c r="J93">
        <v>65278.6</v>
      </c>
      <c r="K93">
        <v>53043.6</v>
      </c>
      <c r="L93">
        <v>12235</v>
      </c>
      <c r="M93">
        <v>22.14</v>
      </c>
      <c r="N93" s="1" t="s">
        <v>117</v>
      </c>
    </row>
    <row r="94" spans="1:14" x14ac:dyDescent="0.25">
      <c r="A94">
        <v>2022</v>
      </c>
      <c r="B94">
        <v>5</v>
      </c>
      <c r="C94" t="s">
        <v>105</v>
      </c>
      <c r="D94" t="str">
        <f t="shared" si="1"/>
        <v>May</v>
      </c>
      <c r="E94">
        <v>2</v>
      </c>
      <c r="F94" t="s">
        <v>25</v>
      </c>
      <c r="G94" t="s">
        <v>19</v>
      </c>
      <c r="H94">
        <v>3659</v>
      </c>
      <c r="I94">
        <v>4653</v>
      </c>
      <c r="J94">
        <v>41728.47</v>
      </c>
      <c r="K94">
        <v>30132.47</v>
      </c>
      <c r="L94">
        <v>11596</v>
      </c>
      <c r="M94">
        <v>28.42</v>
      </c>
      <c r="N94" s="1" t="s">
        <v>118</v>
      </c>
    </row>
    <row r="95" spans="1:14" x14ac:dyDescent="0.25">
      <c r="A95">
        <v>2022</v>
      </c>
      <c r="B95">
        <v>5</v>
      </c>
      <c r="C95" t="s">
        <v>105</v>
      </c>
      <c r="D95" t="str">
        <f t="shared" si="1"/>
        <v>May</v>
      </c>
      <c r="E95">
        <v>2</v>
      </c>
      <c r="F95" t="s">
        <v>14</v>
      </c>
      <c r="G95" t="s">
        <v>19</v>
      </c>
      <c r="H95">
        <v>3895</v>
      </c>
      <c r="I95">
        <v>4549</v>
      </c>
      <c r="J95">
        <v>51640.51</v>
      </c>
      <c r="K95">
        <v>35986.51</v>
      </c>
      <c r="L95">
        <v>15654</v>
      </c>
      <c r="M95">
        <v>36.64</v>
      </c>
      <c r="N95" s="1" t="s">
        <v>119</v>
      </c>
    </row>
    <row r="96" spans="1:14" x14ac:dyDescent="0.25">
      <c r="A96">
        <v>2022</v>
      </c>
      <c r="B96">
        <v>5</v>
      </c>
      <c r="C96" t="s">
        <v>105</v>
      </c>
      <c r="D96" t="str">
        <f t="shared" si="1"/>
        <v>May</v>
      </c>
      <c r="E96">
        <v>2</v>
      </c>
      <c r="F96" t="s">
        <v>23</v>
      </c>
      <c r="G96" t="s">
        <v>15</v>
      </c>
      <c r="H96">
        <v>1056</v>
      </c>
      <c r="I96">
        <v>1233</v>
      </c>
      <c r="J96">
        <v>23111.67</v>
      </c>
      <c r="K96">
        <v>18613.669999999998</v>
      </c>
      <c r="L96">
        <v>4498</v>
      </c>
      <c r="M96">
        <v>22.64</v>
      </c>
      <c r="N96" s="1" t="s">
        <v>120</v>
      </c>
    </row>
    <row r="97" spans="1:14" x14ac:dyDescent="0.25">
      <c r="A97">
        <v>2022</v>
      </c>
      <c r="B97">
        <v>5</v>
      </c>
      <c r="C97" t="s">
        <v>105</v>
      </c>
      <c r="D97" t="str">
        <f t="shared" si="1"/>
        <v>May</v>
      </c>
      <c r="E97">
        <v>2</v>
      </c>
      <c r="F97" t="s">
        <v>28</v>
      </c>
      <c r="G97" t="s">
        <v>26</v>
      </c>
      <c r="H97">
        <v>1161</v>
      </c>
      <c r="I97">
        <v>1791</v>
      </c>
      <c r="J97">
        <v>21188.09</v>
      </c>
      <c r="K97">
        <v>17147.09</v>
      </c>
      <c r="L97">
        <v>4041</v>
      </c>
      <c r="M97">
        <v>18.149999999999999</v>
      </c>
      <c r="N97" s="1" t="s">
        <v>121</v>
      </c>
    </row>
    <row r="98" spans="1:14" x14ac:dyDescent="0.25">
      <c r="A98">
        <v>2022</v>
      </c>
      <c r="B98">
        <v>5</v>
      </c>
      <c r="C98" t="s">
        <v>105</v>
      </c>
      <c r="D98" t="str">
        <f t="shared" si="1"/>
        <v>May</v>
      </c>
      <c r="E98">
        <v>2</v>
      </c>
      <c r="F98" t="s">
        <v>23</v>
      </c>
      <c r="G98" t="s">
        <v>19</v>
      </c>
      <c r="H98">
        <v>7788</v>
      </c>
      <c r="I98">
        <v>9424</v>
      </c>
      <c r="J98">
        <v>169936.76</v>
      </c>
      <c r="K98">
        <v>136135.76</v>
      </c>
      <c r="L98">
        <v>33801</v>
      </c>
      <c r="M98">
        <v>22.7</v>
      </c>
      <c r="N98" s="1" t="s">
        <v>122</v>
      </c>
    </row>
    <row r="99" spans="1:14" x14ac:dyDescent="0.25">
      <c r="A99">
        <v>2022</v>
      </c>
      <c r="B99">
        <v>5</v>
      </c>
      <c r="C99" t="s">
        <v>105</v>
      </c>
      <c r="D99" t="str">
        <f t="shared" si="1"/>
        <v>May</v>
      </c>
      <c r="E99">
        <v>2</v>
      </c>
      <c r="F99" t="s">
        <v>23</v>
      </c>
      <c r="G99" t="s">
        <v>21</v>
      </c>
      <c r="H99">
        <v>1635</v>
      </c>
      <c r="I99">
        <v>2148</v>
      </c>
      <c r="J99">
        <v>41288.519999999997</v>
      </c>
      <c r="K99">
        <v>33234.519999999997</v>
      </c>
      <c r="L99">
        <v>8054</v>
      </c>
      <c r="M99">
        <v>23.77</v>
      </c>
      <c r="N99" s="1" t="s">
        <v>123</v>
      </c>
    </row>
    <row r="100" spans="1:14" x14ac:dyDescent="0.25">
      <c r="A100">
        <v>2022</v>
      </c>
      <c r="B100">
        <v>5</v>
      </c>
      <c r="C100" t="s">
        <v>105</v>
      </c>
      <c r="D100" t="str">
        <f t="shared" si="1"/>
        <v>May</v>
      </c>
      <c r="E100">
        <v>2</v>
      </c>
      <c r="F100" t="s">
        <v>17</v>
      </c>
      <c r="G100" t="s">
        <v>26</v>
      </c>
      <c r="H100">
        <v>1358</v>
      </c>
      <c r="I100">
        <v>1984</v>
      </c>
      <c r="J100">
        <v>31302.16</v>
      </c>
      <c r="K100">
        <v>15856.16</v>
      </c>
      <c r="L100">
        <v>15446</v>
      </c>
      <c r="M100">
        <v>50.39</v>
      </c>
      <c r="N100" s="1" t="s">
        <v>124</v>
      </c>
    </row>
    <row r="101" spans="1:14" x14ac:dyDescent="0.25">
      <c r="A101">
        <v>2022</v>
      </c>
      <c r="B101">
        <v>5</v>
      </c>
      <c r="C101" t="s">
        <v>105</v>
      </c>
      <c r="D101" t="str">
        <f t="shared" si="1"/>
        <v>May</v>
      </c>
      <c r="E101">
        <v>2</v>
      </c>
      <c r="F101" t="s">
        <v>14</v>
      </c>
      <c r="G101" t="s">
        <v>15</v>
      </c>
      <c r="H101">
        <v>504</v>
      </c>
      <c r="I101">
        <v>735</v>
      </c>
      <c r="J101">
        <v>8415.65</v>
      </c>
      <c r="K101">
        <v>5646.65</v>
      </c>
      <c r="L101">
        <v>2769</v>
      </c>
      <c r="M101">
        <v>37.19</v>
      </c>
      <c r="N101" s="1" t="s">
        <v>125</v>
      </c>
    </row>
    <row r="102" spans="1:14" x14ac:dyDescent="0.25">
      <c r="A102">
        <v>2022</v>
      </c>
      <c r="B102">
        <v>6</v>
      </c>
      <c r="C102" t="s">
        <v>126</v>
      </c>
      <c r="D102" t="str">
        <f t="shared" si="1"/>
        <v>Jun</v>
      </c>
      <c r="E102">
        <v>2</v>
      </c>
      <c r="F102" t="s">
        <v>23</v>
      </c>
      <c r="G102" t="s">
        <v>26</v>
      </c>
      <c r="H102">
        <v>2291</v>
      </c>
      <c r="I102">
        <v>2706</v>
      </c>
      <c r="J102">
        <v>59662.94</v>
      </c>
      <c r="K102">
        <v>46871.94</v>
      </c>
      <c r="L102">
        <v>12791</v>
      </c>
      <c r="M102">
        <v>26.5</v>
      </c>
      <c r="N102" s="1" t="s">
        <v>127</v>
      </c>
    </row>
    <row r="103" spans="1:14" x14ac:dyDescent="0.25">
      <c r="A103">
        <v>2022</v>
      </c>
      <c r="B103">
        <v>6</v>
      </c>
      <c r="C103" t="s">
        <v>126</v>
      </c>
      <c r="D103" t="str">
        <f t="shared" si="1"/>
        <v>Jun</v>
      </c>
      <c r="E103">
        <v>2</v>
      </c>
      <c r="F103" t="s">
        <v>14</v>
      </c>
      <c r="G103" t="s">
        <v>21</v>
      </c>
      <c r="H103">
        <v>808</v>
      </c>
      <c r="I103">
        <v>951</v>
      </c>
      <c r="J103">
        <v>9785.49</v>
      </c>
      <c r="K103">
        <v>6588.49</v>
      </c>
      <c r="L103">
        <v>3197</v>
      </c>
      <c r="M103">
        <v>38.340000000000003</v>
      </c>
      <c r="N103" s="1" t="s">
        <v>128</v>
      </c>
    </row>
    <row r="104" spans="1:14" x14ac:dyDescent="0.25">
      <c r="A104">
        <v>2022</v>
      </c>
      <c r="B104">
        <v>6</v>
      </c>
      <c r="C104" t="s">
        <v>126</v>
      </c>
      <c r="D104" t="str">
        <f t="shared" si="1"/>
        <v>Jun</v>
      </c>
      <c r="E104">
        <v>2</v>
      </c>
      <c r="F104" t="s">
        <v>25</v>
      </c>
      <c r="G104" t="s">
        <v>26</v>
      </c>
      <c r="H104">
        <v>1389</v>
      </c>
      <c r="I104">
        <v>1856</v>
      </c>
      <c r="J104">
        <v>17910.439999999999</v>
      </c>
      <c r="K104">
        <v>13097.44</v>
      </c>
      <c r="L104">
        <v>4813</v>
      </c>
      <c r="M104">
        <v>28.32</v>
      </c>
      <c r="N104" s="1" t="s">
        <v>129</v>
      </c>
    </row>
    <row r="105" spans="1:14" x14ac:dyDescent="0.25">
      <c r="A105">
        <v>2022</v>
      </c>
      <c r="B105">
        <v>6</v>
      </c>
      <c r="C105" t="s">
        <v>126</v>
      </c>
      <c r="D105" t="str">
        <f t="shared" si="1"/>
        <v>Jun</v>
      </c>
      <c r="E105">
        <v>2</v>
      </c>
      <c r="F105" t="s">
        <v>28</v>
      </c>
      <c r="G105" t="s">
        <v>26</v>
      </c>
      <c r="H105">
        <v>1560</v>
      </c>
      <c r="I105">
        <v>2695</v>
      </c>
      <c r="J105">
        <v>30157.05</v>
      </c>
      <c r="K105">
        <v>24890.05</v>
      </c>
      <c r="L105">
        <v>5267</v>
      </c>
      <c r="M105">
        <v>16.77</v>
      </c>
      <c r="N105" s="1" t="s">
        <v>130</v>
      </c>
    </row>
    <row r="106" spans="1:14" x14ac:dyDescent="0.25">
      <c r="A106">
        <v>2022</v>
      </c>
      <c r="B106">
        <v>6</v>
      </c>
      <c r="C106" t="s">
        <v>126</v>
      </c>
      <c r="D106" t="str">
        <f t="shared" si="1"/>
        <v>Jun</v>
      </c>
      <c r="E106">
        <v>2</v>
      </c>
      <c r="F106" t="s">
        <v>17</v>
      </c>
      <c r="G106" t="s">
        <v>26</v>
      </c>
      <c r="H106">
        <v>1371</v>
      </c>
      <c r="I106">
        <v>2101</v>
      </c>
      <c r="J106">
        <v>33385.99</v>
      </c>
      <c r="K106">
        <v>17093.990000000002</v>
      </c>
      <c r="L106">
        <v>16292</v>
      </c>
      <c r="M106">
        <v>49.08</v>
      </c>
      <c r="N106" s="1" t="s">
        <v>131</v>
      </c>
    </row>
    <row r="107" spans="1:14" x14ac:dyDescent="0.25">
      <c r="A107">
        <v>2022</v>
      </c>
      <c r="B107">
        <v>6</v>
      </c>
      <c r="C107" t="s">
        <v>126</v>
      </c>
      <c r="D107" t="str">
        <f t="shared" si="1"/>
        <v>Jun</v>
      </c>
      <c r="E107">
        <v>2</v>
      </c>
      <c r="F107" t="s">
        <v>23</v>
      </c>
      <c r="G107" t="s">
        <v>19</v>
      </c>
      <c r="H107">
        <v>6022</v>
      </c>
      <c r="I107">
        <v>7252</v>
      </c>
      <c r="J107">
        <v>146034.48000000001</v>
      </c>
      <c r="K107">
        <v>112076.48</v>
      </c>
      <c r="L107">
        <v>33958</v>
      </c>
      <c r="M107">
        <v>27.41</v>
      </c>
      <c r="N107" s="1" t="s">
        <v>132</v>
      </c>
    </row>
    <row r="108" spans="1:14" x14ac:dyDescent="0.25">
      <c r="A108">
        <v>2022</v>
      </c>
      <c r="B108">
        <v>6</v>
      </c>
      <c r="C108" t="s">
        <v>126</v>
      </c>
      <c r="D108" t="str">
        <f t="shared" si="1"/>
        <v>Jun</v>
      </c>
      <c r="E108">
        <v>2</v>
      </c>
      <c r="F108" t="s">
        <v>28</v>
      </c>
      <c r="G108" t="s">
        <v>15</v>
      </c>
      <c r="H108">
        <v>545</v>
      </c>
      <c r="I108">
        <v>936</v>
      </c>
      <c r="J108">
        <v>11051.64</v>
      </c>
      <c r="K108">
        <v>9073.64</v>
      </c>
      <c r="L108">
        <v>1978</v>
      </c>
      <c r="M108">
        <v>17.27</v>
      </c>
      <c r="N108" s="1" t="s">
        <v>133</v>
      </c>
    </row>
    <row r="109" spans="1:14" x14ac:dyDescent="0.25">
      <c r="A109">
        <v>2022</v>
      </c>
      <c r="B109">
        <v>6</v>
      </c>
      <c r="C109" t="s">
        <v>126</v>
      </c>
      <c r="D109" t="str">
        <f t="shared" si="1"/>
        <v>Jun</v>
      </c>
      <c r="E109">
        <v>2</v>
      </c>
      <c r="F109" t="s">
        <v>25</v>
      </c>
      <c r="G109" t="s">
        <v>15</v>
      </c>
      <c r="H109">
        <v>416</v>
      </c>
      <c r="I109">
        <v>494</v>
      </c>
      <c r="J109">
        <v>3445.06</v>
      </c>
      <c r="K109">
        <v>2552.06</v>
      </c>
      <c r="L109">
        <v>893</v>
      </c>
      <c r="M109">
        <v>27.99</v>
      </c>
      <c r="N109" s="1" t="s">
        <v>134</v>
      </c>
    </row>
    <row r="110" spans="1:14" x14ac:dyDescent="0.25">
      <c r="A110">
        <v>2022</v>
      </c>
      <c r="B110">
        <v>6</v>
      </c>
      <c r="C110" t="s">
        <v>126</v>
      </c>
      <c r="D110" t="str">
        <f t="shared" si="1"/>
        <v>Jun</v>
      </c>
      <c r="E110">
        <v>2</v>
      </c>
      <c r="F110" t="s">
        <v>17</v>
      </c>
      <c r="G110" t="s">
        <v>15</v>
      </c>
      <c r="H110">
        <v>446</v>
      </c>
      <c r="I110">
        <v>699</v>
      </c>
      <c r="J110">
        <v>11116.01</v>
      </c>
      <c r="K110">
        <v>5698.01</v>
      </c>
      <c r="L110">
        <v>5418</v>
      </c>
      <c r="M110">
        <v>49.61</v>
      </c>
      <c r="N110" s="1" t="s">
        <v>135</v>
      </c>
    </row>
    <row r="111" spans="1:14" x14ac:dyDescent="0.25">
      <c r="A111">
        <v>2022</v>
      </c>
      <c r="B111">
        <v>6</v>
      </c>
      <c r="C111" t="s">
        <v>126</v>
      </c>
      <c r="D111" t="str">
        <f t="shared" si="1"/>
        <v>Jun</v>
      </c>
      <c r="E111">
        <v>2</v>
      </c>
      <c r="F111" t="s">
        <v>14</v>
      </c>
      <c r="G111" t="s">
        <v>15</v>
      </c>
      <c r="H111">
        <v>833</v>
      </c>
      <c r="I111">
        <v>1119</v>
      </c>
      <c r="J111">
        <v>12522.81</v>
      </c>
      <c r="K111">
        <v>8380.81</v>
      </c>
      <c r="L111">
        <v>4142</v>
      </c>
      <c r="M111">
        <v>39.6</v>
      </c>
      <c r="N111" s="1" t="s">
        <v>136</v>
      </c>
    </row>
    <row r="112" spans="1:14" x14ac:dyDescent="0.25">
      <c r="A112">
        <v>2022</v>
      </c>
      <c r="B112">
        <v>6</v>
      </c>
      <c r="C112" t="s">
        <v>126</v>
      </c>
      <c r="D112" t="str">
        <f t="shared" si="1"/>
        <v>Jun</v>
      </c>
      <c r="E112">
        <v>2</v>
      </c>
      <c r="F112" t="s">
        <v>25</v>
      </c>
      <c r="G112" t="s">
        <v>19</v>
      </c>
      <c r="H112">
        <v>3522</v>
      </c>
      <c r="I112">
        <v>4651</v>
      </c>
      <c r="J112">
        <v>33801.49</v>
      </c>
      <c r="K112">
        <v>24794.49</v>
      </c>
      <c r="L112">
        <v>9007</v>
      </c>
      <c r="M112">
        <v>28.25</v>
      </c>
      <c r="N112" s="1" t="s">
        <v>137</v>
      </c>
    </row>
    <row r="113" spans="1:14" x14ac:dyDescent="0.25">
      <c r="A113">
        <v>2022</v>
      </c>
      <c r="B113">
        <v>6</v>
      </c>
      <c r="C113" t="s">
        <v>126</v>
      </c>
      <c r="D113" t="str">
        <f t="shared" si="1"/>
        <v>Jun</v>
      </c>
      <c r="E113">
        <v>2</v>
      </c>
      <c r="F113" t="s">
        <v>28</v>
      </c>
      <c r="G113" t="s">
        <v>21</v>
      </c>
      <c r="H113">
        <v>725</v>
      </c>
      <c r="I113">
        <v>988</v>
      </c>
      <c r="J113">
        <v>12732.12</v>
      </c>
      <c r="K113">
        <v>9738.1200000000008</v>
      </c>
      <c r="L113">
        <v>2994</v>
      </c>
      <c r="M113">
        <v>20.68</v>
      </c>
      <c r="N113" s="1" t="s">
        <v>138</v>
      </c>
    </row>
    <row r="114" spans="1:14" x14ac:dyDescent="0.25">
      <c r="A114">
        <v>2022</v>
      </c>
      <c r="B114">
        <v>6</v>
      </c>
      <c r="C114" t="s">
        <v>126</v>
      </c>
      <c r="D114" t="str">
        <f t="shared" si="1"/>
        <v>Jun</v>
      </c>
      <c r="E114">
        <v>2</v>
      </c>
      <c r="F114" t="s">
        <v>23</v>
      </c>
      <c r="G114" t="s">
        <v>15</v>
      </c>
      <c r="H114">
        <v>830</v>
      </c>
      <c r="I114">
        <v>1015</v>
      </c>
      <c r="J114">
        <v>20488.849999999999</v>
      </c>
      <c r="K114">
        <v>15738.85</v>
      </c>
      <c r="L114">
        <v>4750</v>
      </c>
      <c r="M114">
        <v>28.54</v>
      </c>
      <c r="N114" s="1" t="s">
        <v>139</v>
      </c>
    </row>
    <row r="115" spans="1:14" x14ac:dyDescent="0.25">
      <c r="A115">
        <v>2022</v>
      </c>
      <c r="B115">
        <v>6</v>
      </c>
      <c r="C115" t="s">
        <v>126</v>
      </c>
      <c r="D115" t="str">
        <f t="shared" si="1"/>
        <v>Jun</v>
      </c>
      <c r="E115">
        <v>2</v>
      </c>
      <c r="F115" t="s">
        <v>14</v>
      </c>
      <c r="G115" t="s">
        <v>19</v>
      </c>
      <c r="H115">
        <v>3926</v>
      </c>
      <c r="I115">
        <v>4999</v>
      </c>
      <c r="J115">
        <v>55808.01</v>
      </c>
      <c r="K115">
        <v>36513.01</v>
      </c>
      <c r="L115">
        <v>19295</v>
      </c>
      <c r="M115">
        <v>39.840000000000003</v>
      </c>
      <c r="N115" s="1" t="s">
        <v>140</v>
      </c>
    </row>
    <row r="116" spans="1:14" x14ac:dyDescent="0.25">
      <c r="A116">
        <v>2022</v>
      </c>
      <c r="B116">
        <v>6</v>
      </c>
      <c r="C116" t="s">
        <v>126</v>
      </c>
      <c r="D116" t="str">
        <f t="shared" si="1"/>
        <v>Jun</v>
      </c>
      <c r="E116">
        <v>2</v>
      </c>
      <c r="F116" t="s">
        <v>14</v>
      </c>
      <c r="G116" t="s">
        <v>26</v>
      </c>
      <c r="H116">
        <v>1831</v>
      </c>
      <c r="I116">
        <v>2159</v>
      </c>
      <c r="J116">
        <v>24197.41</v>
      </c>
      <c r="K116">
        <v>16370.41</v>
      </c>
      <c r="L116">
        <v>7827</v>
      </c>
      <c r="M116">
        <v>38.99</v>
      </c>
      <c r="N116" s="1" t="s">
        <v>141</v>
      </c>
    </row>
    <row r="117" spans="1:14" x14ac:dyDescent="0.25">
      <c r="A117">
        <v>2022</v>
      </c>
      <c r="B117">
        <v>6</v>
      </c>
      <c r="C117" t="s">
        <v>126</v>
      </c>
      <c r="D117" t="str">
        <f t="shared" si="1"/>
        <v>Jun</v>
      </c>
      <c r="E117">
        <v>2</v>
      </c>
      <c r="F117" t="s">
        <v>17</v>
      </c>
      <c r="G117" t="s">
        <v>21</v>
      </c>
      <c r="H117">
        <v>513</v>
      </c>
      <c r="I117">
        <v>677</v>
      </c>
      <c r="J117">
        <v>11116.23</v>
      </c>
      <c r="K117">
        <v>5964.23</v>
      </c>
      <c r="L117">
        <v>5152</v>
      </c>
      <c r="M117">
        <v>47.51</v>
      </c>
      <c r="N117" s="1" t="s">
        <v>142</v>
      </c>
    </row>
    <row r="118" spans="1:14" x14ac:dyDescent="0.25">
      <c r="A118">
        <v>2022</v>
      </c>
      <c r="B118">
        <v>6</v>
      </c>
      <c r="C118" t="s">
        <v>126</v>
      </c>
      <c r="D118" t="str">
        <f t="shared" si="1"/>
        <v>Jun</v>
      </c>
      <c r="E118">
        <v>2</v>
      </c>
      <c r="F118" t="s">
        <v>25</v>
      </c>
      <c r="G118" t="s">
        <v>21</v>
      </c>
      <c r="H118">
        <v>726</v>
      </c>
      <c r="I118">
        <v>987</v>
      </c>
      <c r="J118">
        <v>7899.13</v>
      </c>
      <c r="K118">
        <v>5833.13</v>
      </c>
      <c r="L118">
        <v>2066</v>
      </c>
      <c r="M118">
        <v>27.51</v>
      </c>
      <c r="N118" s="1" t="s">
        <v>143</v>
      </c>
    </row>
    <row r="119" spans="1:14" x14ac:dyDescent="0.25">
      <c r="A119">
        <v>2022</v>
      </c>
      <c r="B119">
        <v>6</v>
      </c>
      <c r="C119" t="s">
        <v>126</v>
      </c>
      <c r="D119" t="str">
        <f t="shared" si="1"/>
        <v>Jun</v>
      </c>
      <c r="E119">
        <v>2</v>
      </c>
      <c r="F119" t="s">
        <v>17</v>
      </c>
      <c r="G119" t="s">
        <v>19</v>
      </c>
      <c r="H119">
        <v>2713</v>
      </c>
      <c r="I119">
        <v>3740</v>
      </c>
      <c r="J119">
        <v>60385.599999999999</v>
      </c>
      <c r="K119">
        <v>31644.6</v>
      </c>
      <c r="L119">
        <v>28741</v>
      </c>
      <c r="M119">
        <v>48.74</v>
      </c>
      <c r="N119" s="1" t="s">
        <v>144</v>
      </c>
    </row>
    <row r="120" spans="1:14" x14ac:dyDescent="0.25">
      <c r="A120">
        <v>2022</v>
      </c>
      <c r="B120">
        <v>6</v>
      </c>
      <c r="C120" t="s">
        <v>126</v>
      </c>
      <c r="D120" t="str">
        <f t="shared" si="1"/>
        <v>Jun</v>
      </c>
      <c r="E120">
        <v>2</v>
      </c>
      <c r="F120" t="s">
        <v>28</v>
      </c>
      <c r="G120" t="s">
        <v>19</v>
      </c>
      <c r="H120">
        <v>3708</v>
      </c>
      <c r="I120">
        <v>5526</v>
      </c>
      <c r="J120">
        <v>66925.740000000005</v>
      </c>
      <c r="K120">
        <v>53066.74</v>
      </c>
      <c r="L120">
        <v>13859</v>
      </c>
      <c r="M120">
        <v>19.489999999999998</v>
      </c>
      <c r="N120" s="1" t="s">
        <v>145</v>
      </c>
    </row>
    <row r="121" spans="1:14" x14ac:dyDescent="0.25">
      <c r="A121">
        <v>2022</v>
      </c>
      <c r="B121">
        <v>6</v>
      </c>
      <c r="C121" t="s">
        <v>126</v>
      </c>
      <c r="D121" t="str">
        <f t="shared" si="1"/>
        <v>Jun</v>
      </c>
      <c r="E121">
        <v>2</v>
      </c>
      <c r="F121" t="s">
        <v>23</v>
      </c>
      <c r="G121" t="s">
        <v>21</v>
      </c>
      <c r="H121">
        <v>1340</v>
      </c>
      <c r="I121">
        <v>1627</v>
      </c>
      <c r="J121">
        <v>33553.730000000003</v>
      </c>
      <c r="K121">
        <v>26178.73</v>
      </c>
      <c r="L121">
        <v>7375</v>
      </c>
      <c r="M121">
        <v>26.69</v>
      </c>
      <c r="N121" s="1" t="s">
        <v>146</v>
      </c>
    </row>
    <row r="122" spans="1:14" x14ac:dyDescent="0.25">
      <c r="A122">
        <v>2022</v>
      </c>
      <c r="B122">
        <v>7</v>
      </c>
      <c r="C122" t="s">
        <v>147</v>
      </c>
      <c r="D122" t="str">
        <f t="shared" si="1"/>
        <v>Jul</v>
      </c>
      <c r="E122">
        <v>3</v>
      </c>
      <c r="F122" t="s">
        <v>28</v>
      </c>
      <c r="G122" t="s">
        <v>15</v>
      </c>
      <c r="H122">
        <v>711</v>
      </c>
      <c r="I122">
        <v>1224</v>
      </c>
      <c r="J122">
        <v>14699.76</v>
      </c>
      <c r="K122">
        <v>11756.76</v>
      </c>
      <c r="L122">
        <v>2943</v>
      </c>
      <c r="M122">
        <v>18.75</v>
      </c>
      <c r="N122" s="1" t="s">
        <v>148</v>
      </c>
    </row>
    <row r="123" spans="1:14" x14ac:dyDescent="0.25">
      <c r="A123">
        <v>2022</v>
      </c>
      <c r="B123">
        <v>7</v>
      </c>
      <c r="C123" t="s">
        <v>147</v>
      </c>
      <c r="D123" t="str">
        <f t="shared" si="1"/>
        <v>Jul</v>
      </c>
      <c r="E123">
        <v>3</v>
      </c>
      <c r="F123" t="s">
        <v>25</v>
      </c>
      <c r="G123" t="s">
        <v>19</v>
      </c>
      <c r="H123">
        <v>3283</v>
      </c>
      <c r="I123">
        <v>4611</v>
      </c>
      <c r="J123">
        <v>33488.89</v>
      </c>
      <c r="K123">
        <v>25024.89</v>
      </c>
      <c r="L123">
        <v>8464</v>
      </c>
      <c r="M123">
        <v>28.3</v>
      </c>
      <c r="N123" s="1" t="s">
        <v>149</v>
      </c>
    </row>
    <row r="124" spans="1:14" x14ac:dyDescent="0.25">
      <c r="A124">
        <v>2022</v>
      </c>
      <c r="B124">
        <v>7</v>
      </c>
      <c r="C124" t="s">
        <v>147</v>
      </c>
      <c r="D124" t="str">
        <f t="shared" si="1"/>
        <v>Jul</v>
      </c>
      <c r="E124">
        <v>3</v>
      </c>
      <c r="F124" t="s">
        <v>25</v>
      </c>
      <c r="G124" t="s">
        <v>21</v>
      </c>
      <c r="H124">
        <v>853</v>
      </c>
      <c r="I124">
        <v>1231</v>
      </c>
      <c r="J124">
        <v>9297.69</v>
      </c>
      <c r="K124">
        <v>6920.69</v>
      </c>
      <c r="L124">
        <v>2377</v>
      </c>
      <c r="M124">
        <v>27.5</v>
      </c>
      <c r="N124" s="1" t="s">
        <v>150</v>
      </c>
    </row>
    <row r="125" spans="1:14" x14ac:dyDescent="0.25">
      <c r="A125">
        <v>2022</v>
      </c>
      <c r="B125">
        <v>7</v>
      </c>
      <c r="C125" t="s">
        <v>147</v>
      </c>
      <c r="D125" t="str">
        <f t="shared" si="1"/>
        <v>Jul</v>
      </c>
      <c r="E125">
        <v>3</v>
      </c>
      <c r="F125" t="s">
        <v>28</v>
      </c>
      <c r="G125" t="s">
        <v>21</v>
      </c>
      <c r="H125">
        <v>806</v>
      </c>
      <c r="I125">
        <v>1116</v>
      </c>
      <c r="J125">
        <v>14004.84</v>
      </c>
      <c r="K125">
        <v>10893.84</v>
      </c>
      <c r="L125">
        <v>3111</v>
      </c>
      <c r="M125">
        <v>21.27</v>
      </c>
      <c r="N125" s="1" t="s">
        <v>151</v>
      </c>
    </row>
    <row r="126" spans="1:14" x14ac:dyDescent="0.25">
      <c r="A126">
        <v>2022</v>
      </c>
      <c r="B126">
        <v>7</v>
      </c>
      <c r="C126" t="s">
        <v>147</v>
      </c>
      <c r="D126" t="str">
        <f t="shared" si="1"/>
        <v>Jul</v>
      </c>
      <c r="E126">
        <v>3</v>
      </c>
      <c r="F126" t="s">
        <v>14</v>
      </c>
      <c r="G126" t="s">
        <v>21</v>
      </c>
      <c r="H126">
        <v>833</v>
      </c>
      <c r="I126">
        <v>908</v>
      </c>
      <c r="J126">
        <v>9558.92</v>
      </c>
      <c r="K126">
        <v>6385.92</v>
      </c>
      <c r="L126">
        <v>3173</v>
      </c>
      <c r="M126">
        <v>38.19</v>
      </c>
      <c r="N126" s="1" t="s">
        <v>152</v>
      </c>
    </row>
    <row r="127" spans="1:14" x14ac:dyDescent="0.25">
      <c r="A127">
        <v>2022</v>
      </c>
      <c r="B127">
        <v>7</v>
      </c>
      <c r="C127" t="s">
        <v>147</v>
      </c>
      <c r="D127" t="str">
        <f t="shared" si="1"/>
        <v>Jul</v>
      </c>
      <c r="E127">
        <v>3</v>
      </c>
      <c r="F127" t="s">
        <v>14</v>
      </c>
      <c r="G127" t="s">
        <v>19</v>
      </c>
      <c r="H127">
        <v>4315</v>
      </c>
      <c r="I127">
        <v>5129</v>
      </c>
      <c r="J127">
        <v>53706.71</v>
      </c>
      <c r="K127">
        <v>34189.71</v>
      </c>
      <c r="L127">
        <v>19517</v>
      </c>
      <c r="M127">
        <v>40.729999999999997</v>
      </c>
      <c r="N127" s="1" t="s">
        <v>153</v>
      </c>
    </row>
    <row r="128" spans="1:14" x14ac:dyDescent="0.25">
      <c r="A128">
        <v>2022</v>
      </c>
      <c r="B128">
        <v>7</v>
      </c>
      <c r="C128" t="s">
        <v>147</v>
      </c>
      <c r="D128" t="str">
        <f t="shared" si="1"/>
        <v>Jul</v>
      </c>
      <c r="E128">
        <v>3</v>
      </c>
      <c r="F128" t="s">
        <v>17</v>
      </c>
      <c r="G128" t="s">
        <v>19</v>
      </c>
      <c r="H128">
        <v>2712</v>
      </c>
      <c r="I128">
        <v>3489</v>
      </c>
      <c r="J128">
        <v>55902.11</v>
      </c>
      <c r="K128">
        <v>29020.11</v>
      </c>
      <c r="L128">
        <v>26882</v>
      </c>
      <c r="M128">
        <v>49.46</v>
      </c>
      <c r="N128" s="1" t="s">
        <v>154</v>
      </c>
    </row>
    <row r="129" spans="1:14" x14ac:dyDescent="0.25">
      <c r="A129">
        <v>2022</v>
      </c>
      <c r="B129">
        <v>7</v>
      </c>
      <c r="C129" t="s">
        <v>147</v>
      </c>
      <c r="D129" t="str">
        <f t="shared" si="1"/>
        <v>Jul</v>
      </c>
      <c r="E129">
        <v>3</v>
      </c>
      <c r="F129" t="s">
        <v>23</v>
      </c>
      <c r="G129" t="s">
        <v>15</v>
      </c>
      <c r="H129">
        <v>774</v>
      </c>
      <c r="I129">
        <v>894</v>
      </c>
      <c r="J129">
        <v>12551.06</v>
      </c>
      <c r="K129">
        <v>8440.06</v>
      </c>
      <c r="L129">
        <v>4111</v>
      </c>
      <c r="M129">
        <v>33.89</v>
      </c>
      <c r="N129" s="1" t="s">
        <v>54</v>
      </c>
    </row>
    <row r="130" spans="1:14" x14ac:dyDescent="0.25">
      <c r="A130">
        <v>2022</v>
      </c>
      <c r="B130">
        <v>7</v>
      </c>
      <c r="C130" t="s">
        <v>147</v>
      </c>
      <c r="D130" t="str">
        <f t="shared" ref="D130:D193" si="2">LEFT(C130,3)</f>
        <v>Jul</v>
      </c>
      <c r="E130">
        <v>3</v>
      </c>
      <c r="F130" t="s">
        <v>23</v>
      </c>
      <c r="G130" t="s">
        <v>26</v>
      </c>
      <c r="H130">
        <v>1762</v>
      </c>
      <c r="I130">
        <v>2037</v>
      </c>
      <c r="J130">
        <v>29895.63</v>
      </c>
      <c r="K130">
        <v>20547.63</v>
      </c>
      <c r="L130">
        <v>9348</v>
      </c>
      <c r="M130">
        <v>31.98</v>
      </c>
      <c r="N130" s="1" t="s">
        <v>155</v>
      </c>
    </row>
    <row r="131" spans="1:14" x14ac:dyDescent="0.25">
      <c r="A131">
        <v>2022</v>
      </c>
      <c r="B131">
        <v>7</v>
      </c>
      <c r="C131" t="s">
        <v>147</v>
      </c>
      <c r="D131" t="str">
        <f t="shared" si="2"/>
        <v>Jul</v>
      </c>
      <c r="E131">
        <v>3</v>
      </c>
      <c r="F131" t="s">
        <v>17</v>
      </c>
      <c r="G131" t="s">
        <v>26</v>
      </c>
      <c r="H131">
        <v>1461</v>
      </c>
      <c r="I131">
        <v>2102</v>
      </c>
      <c r="J131">
        <v>33675.980000000003</v>
      </c>
      <c r="K131">
        <v>17478.98</v>
      </c>
      <c r="L131">
        <v>16197</v>
      </c>
      <c r="M131">
        <v>48.6</v>
      </c>
      <c r="N131" s="1" t="s">
        <v>156</v>
      </c>
    </row>
    <row r="132" spans="1:14" x14ac:dyDescent="0.25">
      <c r="A132">
        <v>2022</v>
      </c>
      <c r="B132">
        <v>7</v>
      </c>
      <c r="C132" t="s">
        <v>147</v>
      </c>
      <c r="D132" t="str">
        <f t="shared" si="2"/>
        <v>Jul</v>
      </c>
      <c r="E132">
        <v>3</v>
      </c>
      <c r="F132" t="s">
        <v>14</v>
      </c>
      <c r="G132" t="s">
        <v>15</v>
      </c>
      <c r="H132">
        <v>806</v>
      </c>
      <c r="I132">
        <v>1068</v>
      </c>
      <c r="J132">
        <v>12594.32</v>
      </c>
      <c r="K132">
        <v>8728.32</v>
      </c>
      <c r="L132">
        <v>3866</v>
      </c>
      <c r="M132">
        <v>38.049999999999997</v>
      </c>
      <c r="N132" s="1" t="s">
        <v>157</v>
      </c>
    </row>
    <row r="133" spans="1:14" x14ac:dyDescent="0.25">
      <c r="A133">
        <v>2022</v>
      </c>
      <c r="B133">
        <v>7</v>
      </c>
      <c r="C133" t="s">
        <v>147</v>
      </c>
      <c r="D133" t="str">
        <f t="shared" si="2"/>
        <v>Jul</v>
      </c>
      <c r="E133">
        <v>3</v>
      </c>
      <c r="F133" t="s">
        <v>17</v>
      </c>
      <c r="G133" t="s">
        <v>15</v>
      </c>
      <c r="H133">
        <v>560</v>
      </c>
      <c r="I133">
        <v>977</v>
      </c>
      <c r="J133">
        <v>15241.23</v>
      </c>
      <c r="K133">
        <v>7597.23</v>
      </c>
      <c r="L133">
        <v>7644</v>
      </c>
      <c r="M133">
        <v>50.14</v>
      </c>
      <c r="N133" s="1" t="s">
        <v>158</v>
      </c>
    </row>
    <row r="134" spans="1:14" x14ac:dyDescent="0.25">
      <c r="A134">
        <v>2022</v>
      </c>
      <c r="B134">
        <v>7</v>
      </c>
      <c r="C134" t="s">
        <v>147</v>
      </c>
      <c r="D134" t="str">
        <f t="shared" si="2"/>
        <v>Jul</v>
      </c>
      <c r="E134">
        <v>3</v>
      </c>
      <c r="F134" t="s">
        <v>14</v>
      </c>
      <c r="G134" t="s">
        <v>26</v>
      </c>
      <c r="H134">
        <v>1965</v>
      </c>
      <c r="I134">
        <v>2274</v>
      </c>
      <c r="J134">
        <v>23922.26</v>
      </c>
      <c r="K134">
        <v>15071.26</v>
      </c>
      <c r="L134">
        <v>8851</v>
      </c>
      <c r="M134">
        <v>42.09</v>
      </c>
      <c r="N134" s="1" t="s">
        <v>159</v>
      </c>
    </row>
    <row r="135" spans="1:14" x14ac:dyDescent="0.25">
      <c r="A135">
        <v>2022</v>
      </c>
      <c r="B135">
        <v>7</v>
      </c>
      <c r="C135" t="s">
        <v>147</v>
      </c>
      <c r="D135" t="str">
        <f t="shared" si="2"/>
        <v>Jul</v>
      </c>
      <c r="E135">
        <v>3</v>
      </c>
      <c r="F135" t="s">
        <v>28</v>
      </c>
      <c r="G135" t="s">
        <v>19</v>
      </c>
      <c r="H135">
        <v>3923</v>
      </c>
      <c r="I135">
        <v>5658</v>
      </c>
      <c r="J135">
        <v>65459.42</v>
      </c>
      <c r="K135">
        <v>52195.42</v>
      </c>
      <c r="L135">
        <v>13264</v>
      </c>
      <c r="M135">
        <v>18.93</v>
      </c>
      <c r="N135" s="1" t="s">
        <v>160</v>
      </c>
    </row>
    <row r="136" spans="1:14" x14ac:dyDescent="0.25">
      <c r="A136">
        <v>2022</v>
      </c>
      <c r="B136">
        <v>7</v>
      </c>
      <c r="C136" t="s">
        <v>147</v>
      </c>
      <c r="D136" t="str">
        <f t="shared" si="2"/>
        <v>Jul</v>
      </c>
      <c r="E136">
        <v>3</v>
      </c>
      <c r="F136" t="s">
        <v>23</v>
      </c>
      <c r="G136" t="s">
        <v>21</v>
      </c>
      <c r="H136">
        <v>1028</v>
      </c>
      <c r="I136">
        <v>1267</v>
      </c>
      <c r="J136">
        <v>19722.330000000002</v>
      </c>
      <c r="K136">
        <v>14562.33</v>
      </c>
      <c r="L136">
        <v>5160</v>
      </c>
      <c r="M136">
        <v>28.93</v>
      </c>
      <c r="N136" s="1" t="s">
        <v>161</v>
      </c>
    </row>
    <row r="137" spans="1:14" x14ac:dyDescent="0.25">
      <c r="A137">
        <v>2022</v>
      </c>
      <c r="B137">
        <v>7</v>
      </c>
      <c r="C137" t="s">
        <v>147</v>
      </c>
      <c r="D137" t="str">
        <f t="shared" si="2"/>
        <v>Jul</v>
      </c>
      <c r="E137">
        <v>3</v>
      </c>
      <c r="F137" t="s">
        <v>25</v>
      </c>
      <c r="G137" t="s">
        <v>15</v>
      </c>
      <c r="H137">
        <v>700</v>
      </c>
      <c r="I137">
        <v>818</v>
      </c>
      <c r="J137">
        <v>6842.82</v>
      </c>
      <c r="K137">
        <v>5320.82</v>
      </c>
      <c r="L137">
        <v>1522</v>
      </c>
      <c r="M137">
        <v>25.91</v>
      </c>
      <c r="N137" s="1" t="s">
        <v>162</v>
      </c>
    </row>
    <row r="138" spans="1:14" x14ac:dyDescent="0.25">
      <c r="A138">
        <v>2022</v>
      </c>
      <c r="B138">
        <v>7</v>
      </c>
      <c r="C138" t="s">
        <v>147</v>
      </c>
      <c r="D138" t="str">
        <f t="shared" si="2"/>
        <v>Jul</v>
      </c>
      <c r="E138">
        <v>3</v>
      </c>
      <c r="F138" t="s">
        <v>28</v>
      </c>
      <c r="G138" t="s">
        <v>26</v>
      </c>
      <c r="H138">
        <v>1727</v>
      </c>
      <c r="I138">
        <v>3143</v>
      </c>
      <c r="J138">
        <v>35404.57</v>
      </c>
      <c r="K138">
        <v>29242.57</v>
      </c>
      <c r="L138">
        <v>6162</v>
      </c>
      <c r="M138">
        <v>17.059999999999999</v>
      </c>
      <c r="N138" s="1" t="s">
        <v>163</v>
      </c>
    </row>
    <row r="139" spans="1:14" x14ac:dyDescent="0.25">
      <c r="A139">
        <v>2022</v>
      </c>
      <c r="B139">
        <v>7</v>
      </c>
      <c r="C139" t="s">
        <v>147</v>
      </c>
      <c r="D139" t="str">
        <f t="shared" si="2"/>
        <v>Jul</v>
      </c>
      <c r="E139">
        <v>3</v>
      </c>
      <c r="F139" t="s">
        <v>23</v>
      </c>
      <c r="G139" t="s">
        <v>19</v>
      </c>
      <c r="H139">
        <v>4879</v>
      </c>
      <c r="I139">
        <v>5598</v>
      </c>
      <c r="J139">
        <v>84240.02</v>
      </c>
      <c r="K139">
        <v>59315.02</v>
      </c>
      <c r="L139">
        <v>24925</v>
      </c>
      <c r="M139">
        <v>30.81</v>
      </c>
      <c r="N139" s="1" t="s">
        <v>164</v>
      </c>
    </row>
    <row r="140" spans="1:14" x14ac:dyDescent="0.25">
      <c r="A140">
        <v>2022</v>
      </c>
      <c r="B140">
        <v>7</v>
      </c>
      <c r="C140" t="s">
        <v>147</v>
      </c>
      <c r="D140" t="str">
        <f t="shared" si="2"/>
        <v>Jul</v>
      </c>
      <c r="E140">
        <v>3</v>
      </c>
      <c r="F140" t="s">
        <v>25</v>
      </c>
      <c r="G140" t="s">
        <v>26</v>
      </c>
      <c r="H140">
        <v>1463</v>
      </c>
      <c r="I140">
        <v>1990</v>
      </c>
      <c r="J140">
        <v>16022.1</v>
      </c>
      <c r="K140">
        <v>11716.1</v>
      </c>
      <c r="L140">
        <v>4306</v>
      </c>
      <c r="M140">
        <v>28.88</v>
      </c>
      <c r="N140" s="1" t="s">
        <v>165</v>
      </c>
    </row>
    <row r="141" spans="1:14" x14ac:dyDescent="0.25">
      <c r="A141">
        <v>2022</v>
      </c>
      <c r="B141">
        <v>7</v>
      </c>
      <c r="C141" t="s">
        <v>147</v>
      </c>
      <c r="D141" t="str">
        <f t="shared" si="2"/>
        <v>Jul</v>
      </c>
      <c r="E141">
        <v>3</v>
      </c>
      <c r="F141" t="s">
        <v>17</v>
      </c>
      <c r="G141" t="s">
        <v>21</v>
      </c>
      <c r="H141">
        <v>354</v>
      </c>
      <c r="I141">
        <v>643</v>
      </c>
      <c r="J141">
        <v>9803.57</v>
      </c>
      <c r="K141">
        <v>4704.57</v>
      </c>
      <c r="L141">
        <v>5099</v>
      </c>
      <c r="M141">
        <v>51.91</v>
      </c>
      <c r="N141" s="1" t="s">
        <v>166</v>
      </c>
    </row>
    <row r="142" spans="1:14" x14ac:dyDescent="0.25">
      <c r="A142">
        <v>2022</v>
      </c>
      <c r="B142">
        <v>8</v>
      </c>
      <c r="C142" t="s">
        <v>167</v>
      </c>
      <c r="D142" t="str">
        <f t="shared" si="2"/>
        <v>Aug</v>
      </c>
      <c r="E142">
        <v>3</v>
      </c>
      <c r="F142" t="s">
        <v>23</v>
      </c>
      <c r="G142" t="s">
        <v>15</v>
      </c>
      <c r="H142">
        <v>629</v>
      </c>
      <c r="I142">
        <v>782</v>
      </c>
      <c r="J142">
        <v>12316.18</v>
      </c>
      <c r="K142">
        <v>8724.18</v>
      </c>
      <c r="L142">
        <v>3592</v>
      </c>
      <c r="M142">
        <v>31.37</v>
      </c>
      <c r="N142" s="1" t="s">
        <v>168</v>
      </c>
    </row>
    <row r="143" spans="1:14" x14ac:dyDescent="0.25">
      <c r="A143">
        <v>2022</v>
      </c>
      <c r="B143">
        <v>8</v>
      </c>
      <c r="C143" t="s">
        <v>167</v>
      </c>
      <c r="D143" t="str">
        <f t="shared" si="2"/>
        <v>Aug</v>
      </c>
      <c r="E143">
        <v>3</v>
      </c>
      <c r="F143" t="s">
        <v>28</v>
      </c>
      <c r="G143" t="s">
        <v>26</v>
      </c>
      <c r="H143">
        <v>1175</v>
      </c>
      <c r="I143">
        <v>1595</v>
      </c>
      <c r="J143">
        <v>17799.05</v>
      </c>
      <c r="K143">
        <v>14569.05</v>
      </c>
      <c r="L143">
        <v>3230</v>
      </c>
      <c r="M143">
        <v>17.850000000000001</v>
      </c>
      <c r="N143" s="1" t="s">
        <v>169</v>
      </c>
    </row>
    <row r="144" spans="1:14" x14ac:dyDescent="0.25">
      <c r="A144">
        <v>2022</v>
      </c>
      <c r="B144">
        <v>8</v>
      </c>
      <c r="C144" t="s">
        <v>167</v>
      </c>
      <c r="D144" t="str">
        <f t="shared" si="2"/>
        <v>Aug</v>
      </c>
      <c r="E144">
        <v>3</v>
      </c>
      <c r="F144" t="s">
        <v>17</v>
      </c>
      <c r="G144" t="s">
        <v>15</v>
      </c>
      <c r="H144">
        <v>351</v>
      </c>
      <c r="I144">
        <v>542</v>
      </c>
      <c r="J144">
        <v>8511.58</v>
      </c>
      <c r="K144">
        <v>4294.58</v>
      </c>
      <c r="L144">
        <v>4217</v>
      </c>
      <c r="M144">
        <v>49.71</v>
      </c>
      <c r="N144" s="1" t="s">
        <v>170</v>
      </c>
    </row>
    <row r="145" spans="1:14" x14ac:dyDescent="0.25">
      <c r="A145">
        <v>2022</v>
      </c>
      <c r="B145">
        <v>8</v>
      </c>
      <c r="C145" t="s">
        <v>167</v>
      </c>
      <c r="D145" t="str">
        <f t="shared" si="2"/>
        <v>Aug</v>
      </c>
      <c r="E145">
        <v>3</v>
      </c>
      <c r="F145" t="s">
        <v>25</v>
      </c>
      <c r="G145" t="s">
        <v>21</v>
      </c>
      <c r="H145">
        <v>675</v>
      </c>
      <c r="I145">
        <v>937</v>
      </c>
      <c r="J145">
        <v>5128.63</v>
      </c>
      <c r="K145">
        <v>3693.63</v>
      </c>
      <c r="L145">
        <v>1435</v>
      </c>
      <c r="M145">
        <v>29.99</v>
      </c>
      <c r="N145" s="1" t="s">
        <v>171</v>
      </c>
    </row>
    <row r="146" spans="1:14" x14ac:dyDescent="0.25">
      <c r="A146">
        <v>2022</v>
      </c>
      <c r="B146">
        <v>8</v>
      </c>
      <c r="C146" t="s">
        <v>167</v>
      </c>
      <c r="D146" t="str">
        <f t="shared" si="2"/>
        <v>Aug</v>
      </c>
      <c r="E146">
        <v>3</v>
      </c>
      <c r="F146" t="s">
        <v>23</v>
      </c>
      <c r="G146" t="s">
        <v>21</v>
      </c>
      <c r="H146">
        <v>1202</v>
      </c>
      <c r="I146">
        <v>1408</v>
      </c>
      <c r="J146">
        <v>25185.919999999998</v>
      </c>
      <c r="K146">
        <v>18798.919999999998</v>
      </c>
      <c r="L146">
        <v>6387</v>
      </c>
      <c r="M146">
        <v>29.4</v>
      </c>
      <c r="N146" s="1" t="s">
        <v>172</v>
      </c>
    </row>
    <row r="147" spans="1:14" x14ac:dyDescent="0.25">
      <c r="A147">
        <v>2022</v>
      </c>
      <c r="B147">
        <v>8</v>
      </c>
      <c r="C147" t="s">
        <v>167</v>
      </c>
      <c r="D147" t="str">
        <f t="shared" si="2"/>
        <v>Aug</v>
      </c>
      <c r="E147">
        <v>3</v>
      </c>
      <c r="F147" t="s">
        <v>17</v>
      </c>
      <c r="G147" t="s">
        <v>21</v>
      </c>
      <c r="H147">
        <v>471</v>
      </c>
      <c r="I147">
        <v>696</v>
      </c>
      <c r="J147">
        <v>11019.04</v>
      </c>
      <c r="K147">
        <v>5625.04</v>
      </c>
      <c r="L147">
        <v>5394</v>
      </c>
      <c r="M147">
        <v>49.31</v>
      </c>
      <c r="N147" s="1" t="s">
        <v>173</v>
      </c>
    </row>
    <row r="148" spans="1:14" x14ac:dyDescent="0.25">
      <c r="A148">
        <v>2022</v>
      </c>
      <c r="B148">
        <v>8</v>
      </c>
      <c r="C148" t="s">
        <v>167</v>
      </c>
      <c r="D148" t="str">
        <f t="shared" si="2"/>
        <v>Aug</v>
      </c>
      <c r="E148">
        <v>3</v>
      </c>
      <c r="F148" t="s">
        <v>25</v>
      </c>
      <c r="G148" t="s">
        <v>15</v>
      </c>
      <c r="H148">
        <v>367</v>
      </c>
      <c r="I148">
        <v>454</v>
      </c>
      <c r="J148">
        <v>2663.46</v>
      </c>
      <c r="K148">
        <v>1981.46</v>
      </c>
      <c r="L148">
        <v>682</v>
      </c>
      <c r="M148">
        <v>30.17</v>
      </c>
      <c r="N148" s="1" t="s">
        <v>75</v>
      </c>
    </row>
    <row r="149" spans="1:14" x14ac:dyDescent="0.25">
      <c r="A149">
        <v>2022</v>
      </c>
      <c r="B149">
        <v>8</v>
      </c>
      <c r="C149" t="s">
        <v>167</v>
      </c>
      <c r="D149" t="str">
        <f t="shared" si="2"/>
        <v>Aug</v>
      </c>
      <c r="E149">
        <v>3</v>
      </c>
      <c r="F149" t="s">
        <v>17</v>
      </c>
      <c r="G149" t="s">
        <v>26</v>
      </c>
      <c r="H149">
        <v>1617</v>
      </c>
      <c r="I149">
        <v>2573</v>
      </c>
      <c r="J149">
        <v>40550.269999999997</v>
      </c>
      <c r="K149">
        <v>20591.27</v>
      </c>
      <c r="L149">
        <v>19959</v>
      </c>
      <c r="M149">
        <v>49.08</v>
      </c>
      <c r="N149" s="1" t="s">
        <v>174</v>
      </c>
    </row>
    <row r="150" spans="1:14" x14ac:dyDescent="0.25">
      <c r="A150">
        <v>2022</v>
      </c>
      <c r="B150">
        <v>8</v>
      </c>
      <c r="C150" t="s">
        <v>167</v>
      </c>
      <c r="D150" t="str">
        <f t="shared" si="2"/>
        <v>Aug</v>
      </c>
      <c r="E150">
        <v>3</v>
      </c>
      <c r="F150" t="s">
        <v>14</v>
      </c>
      <c r="G150" t="s">
        <v>21</v>
      </c>
      <c r="H150">
        <v>701</v>
      </c>
      <c r="I150">
        <v>729</v>
      </c>
      <c r="J150">
        <v>8463.7099999999991</v>
      </c>
      <c r="K150">
        <v>6061.71</v>
      </c>
      <c r="L150">
        <v>2402</v>
      </c>
      <c r="M150">
        <v>35.130000000000003</v>
      </c>
      <c r="N150" s="1" t="s">
        <v>175</v>
      </c>
    </row>
    <row r="151" spans="1:14" x14ac:dyDescent="0.25">
      <c r="A151">
        <v>2022</v>
      </c>
      <c r="B151">
        <v>8</v>
      </c>
      <c r="C151" t="s">
        <v>167</v>
      </c>
      <c r="D151" t="str">
        <f t="shared" si="2"/>
        <v>Aug</v>
      </c>
      <c r="E151">
        <v>3</v>
      </c>
      <c r="F151" t="s">
        <v>28</v>
      </c>
      <c r="G151" t="s">
        <v>15</v>
      </c>
      <c r="H151">
        <v>520</v>
      </c>
      <c r="I151">
        <v>847</v>
      </c>
      <c r="J151">
        <v>9423.5300000000007</v>
      </c>
      <c r="K151">
        <v>7846.53</v>
      </c>
      <c r="L151">
        <v>1577</v>
      </c>
      <c r="M151">
        <v>16.350000000000001</v>
      </c>
      <c r="N151" s="1" t="s">
        <v>176</v>
      </c>
    </row>
    <row r="152" spans="1:14" x14ac:dyDescent="0.25">
      <c r="A152">
        <v>2022</v>
      </c>
      <c r="B152">
        <v>8</v>
      </c>
      <c r="C152" t="s">
        <v>167</v>
      </c>
      <c r="D152" t="str">
        <f t="shared" si="2"/>
        <v>Aug</v>
      </c>
      <c r="E152">
        <v>3</v>
      </c>
      <c r="F152" t="s">
        <v>23</v>
      </c>
      <c r="G152" t="s">
        <v>26</v>
      </c>
      <c r="H152">
        <v>1354</v>
      </c>
      <c r="I152">
        <v>1504</v>
      </c>
      <c r="J152">
        <v>24402.959999999999</v>
      </c>
      <c r="K152">
        <v>17848.96</v>
      </c>
      <c r="L152">
        <v>6554</v>
      </c>
      <c r="M152">
        <v>30.4</v>
      </c>
      <c r="N152" s="1" t="s">
        <v>177</v>
      </c>
    </row>
    <row r="153" spans="1:14" x14ac:dyDescent="0.25">
      <c r="A153">
        <v>2022</v>
      </c>
      <c r="B153">
        <v>8</v>
      </c>
      <c r="C153" t="s">
        <v>167</v>
      </c>
      <c r="D153" t="str">
        <f t="shared" si="2"/>
        <v>Aug</v>
      </c>
      <c r="E153">
        <v>3</v>
      </c>
      <c r="F153" t="s">
        <v>23</v>
      </c>
      <c r="G153" t="s">
        <v>19</v>
      </c>
      <c r="H153">
        <v>4186</v>
      </c>
      <c r="I153">
        <v>4851</v>
      </c>
      <c r="J153">
        <v>78707.490000000005</v>
      </c>
      <c r="K153">
        <v>56134.49</v>
      </c>
      <c r="L153">
        <v>22573</v>
      </c>
      <c r="M153">
        <v>30.92</v>
      </c>
      <c r="N153" s="1" t="s">
        <v>178</v>
      </c>
    </row>
    <row r="154" spans="1:14" x14ac:dyDescent="0.25">
      <c r="A154">
        <v>2022</v>
      </c>
      <c r="B154">
        <v>8</v>
      </c>
      <c r="C154" t="s">
        <v>167</v>
      </c>
      <c r="D154" t="str">
        <f t="shared" si="2"/>
        <v>Aug</v>
      </c>
      <c r="E154">
        <v>3</v>
      </c>
      <c r="F154" t="s">
        <v>25</v>
      </c>
      <c r="G154" t="s">
        <v>26</v>
      </c>
      <c r="H154">
        <v>1633</v>
      </c>
      <c r="I154">
        <v>2213</v>
      </c>
      <c r="J154">
        <v>13848.87</v>
      </c>
      <c r="K154">
        <v>10080.870000000001</v>
      </c>
      <c r="L154">
        <v>3768</v>
      </c>
      <c r="M154">
        <v>30.75</v>
      </c>
      <c r="N154" s="1" t="s">
        <v>179</v>
      </c>
    </row>
    <row r="155" spans="1:14" x14ac:dyDescent="0.25">
      <c r="A155">
        <v>2022</v>
      </c>
      <c r="B155">
        <v>8</v>
      </c>
      <c r="C155" t="s">
        <v>167</v>
      </c>
      <c r="D155" t="str">
        <f t="shared" si="2"/>
        <v>Aug</v>
      </c>
      <c r="E155">
        <v>3</v>
      </c>
      <c r="F155" t="s">
        <v>25</v>
      </c>
      <c r="G155" t="s">
        <v>19</v>
      </c>
      <c r="H155">
        <v>3742</v>
      </c>
      <c r="I155">
        <v>5173</v>
      </c>
      <c r="J155">
        <v>35414.269999999997</v>
      </c>
      <c r="K155">
        <v>25851.27</v>
      </c>
      <c r="L155">
        <v>9563</v>
      </c>
      <c r="M155">
        <v>30.97</v>
      </c>
      <c r="N155" s="1" t="s">
        <v>180</v>
      </c>
    </row>
    <row r="156" spans="1:14" x14ac:dyDescent="0.25">
      <c r="A156">
        <v>2022</v>
      </c>
      <c r="B156">
        <v>8</v>
      </c>
      <c r="C156" t="s">
        <v>167</v>
      </c>
      <c r="D156" t="str">
        <f t="shared" si="2"/>
        <v>Aug</v>
      </c>
      <c r="E156">
        <v>3</v>
      </c>
      <c r="F156" t="s">
        <v>14</v>
      </c>
      <c r="G156" t="s">
        <v>15</v>
      </c>
      <c r="H156">
        <v>834</v>
      </c>
      <c r="I156">
        <v>1016</v>
      </c>
      <c r="J156">
        <v>11443.84</v>
      </c>
      <c r="K156">
        <v>7173.84</v>
      </c>
      <c r="L156">
        <v>4270</v>
      </c>
      <c r="M156">
        <v>43.44</v>
      </c>
      <c r="N156" s="1" t="s">
        <v>181</v>
      </c>
    </row>
    <row r="157" spans="1:14" x14ac:dyDescent="0.25">
      <c r="A157">
        <v>2022</v>
      </c>
      <c r="B157">
        <v>8</v>
      </c>
      <c r="C157" t="s">
        <v>167</v>
      </c>
      <c r="D157" t="str">
        <f t="shared" si="2"/>
        <v>Aug</v>
      </c>
      <c r="E157">
        <v>3</v>
      </c>
      <c r="F157" t="s">
        <v>28</v>
      </c>
      <c r="G157" t="s">
        <v>19</v>
      </c>
      <c r="H157">
        <v>3369</v>
      </c>
      <c r="I157">
        <v>4356</v>
      </c>
      <c r="J157">
        <v>52912.44</v>
      </c>
      <c r="K157">
        <v>41490.44</v>
      </c>
      <c r="L157">
        <v>11422</v>
      </c>
      <c r="M157">
        <v>19.72</v>
      </c>
      <c r="N157" s="1" t="s">
        <v>182</v>
      </c>
    </row>
    <row r="158" spans="1:14" x14ac:dyDescent="0.25">
      <c r="A158">
        <v>2022</v>
      </c>
      <c r="B158">
        <v>8</v>
      </c>
      <c r="C158" t="s">
        <v>167</v>
      </c>
      <c r="D158" t="str">
        <f t="shared" si="2"/>
        <v>Aug</v>
      </c>
      <c r="E158">
        <v>3</v>
      </c>
      <c r="F158" t="s">
        <v>28</v>
      </c>
      <c r="G158" t="s">
        <v>21</v>
      </c>
      <c r="H158">
        <v>624</v>
      </c>
      <c r="I158">
        <v>753</v>
      </c>
      <c r="J158">
        <v>9273.4699999999993</v>
      </c>
      <c r="K158">
        <v>6946.47</v>
      </c>
      <c r="L158">
        <v>2327</v>
      </c>
      <c r="M158">
        <v>22.68</v>
      </c>
      <c r="N158" s="1" t="s">
        <v>183</v>
      </c>
    </row>
    <row r="159" spans="1:14" x14ac:dyDescent="0.25">
      <c r="A159">
        <v>2022</v>
      </c>
      <c r="B159">
        <v>8</v>
      </c>
      <c r="C159" t="s">
        <v>167</v>
      </c>
      <c r="D159" t="str">
        <f t="shared" si="2"/>
        <v>Aug</v>
      </c>
      <c r="E159">
        <v>3</v>
      </c>
      <c r="F159" t="s">
        <v>14</v>
      </c>
      <c r="G159" t="s">
        <v>19</v>
      </c>
      <c r="H159">
        <v>3549</v>
      </c>
      <c r="I159">
        <v>4180</v>
      </c>
      <c r="J159">
        <v>43536.2</v>
      </c>
      <c r="K159">
        <v>28076.2</v>
      </c>
      <c r="L159">
        <v>15460</v>
      </c>
      <c r="M159">
        <v>40.04</v>
      </c>
      <c r="N159" s="1" t="s">
        <v>184</v>
      </c>
    </row>
    <row r="160" spans="1:14" x14ac:dyDescent="0.25">
      <c r="A160">
        <v>2022</v>
      </c>
      <c r="B160">
        <v>8</v>
      </c>
      <c r="C160" t="s">
        <v>167</v>
      </c>
      <c r="D160" t="str">
        <f t="shared" si="2"/>
        <v>Aug</v>
      </c>
      <c r="E160">
        <v>3</v>
      </c>
      <c r="F160" t="s">
        <v>17</v>
      </c>
      <c r="G160" t="s">
        <v>19</v>
      </c>
      <c r="H160">
        <v>2925</v>
      </c>
      <c r="I160">
        <v>3783</v>
      </c>
      <c r="J160">
        <v>62849.17</v>
      </c>
      <c r="K160">
        <v>34467.17</v>
      </c>
      <c r="L160">
        <v>28382</v>
      </c>
      <c r="M160">
        <v>46.81</v>
      </c>
      <c r="N160" s="1" t="s">
        <v>185</v>
      </c>
    </row>
    <row r="161" spans="1:14" x14ac:dyDescent="0.25">
      <c r="A161">
        <v>2022</v>
      </c>
      <c r="B161">
        <v>8</v>
      </c>
      <c r="C161" t="s">
        <v>167</v>
      </c>
      <c r="D161" t="str">
        <f t="shared" si="2"/>
        <v>Aug</v>
      </c>
      <c r="E161">
        <v>3</v>
      </c>
      <c r="F161" t="s">
        <v>14</v>
      </c>
      <c r="G161" t="s">
        <v>26</v>
      </c>
      <c r="H161">
        <v>1380</v>
      </c>
      <c r="I161">
        <v>1535</v>
      </c>
      <c r="J161">
        <v>15972.65</v>
      </c>
      <c r="K161">
        <v>10235.65</v>
      </c>
      <c r="L161">
        <v>5737</v>
      </c>
      <c r="M161">
        <v>39.85</v>
      </c>
      <c r="N161" s="1" t="s">
        <v>186</v>
      </c>
    </row>
    <row r="162" spans="1:14" x14ac:dyDescent="0.25">
      <c r="A162">
        <v>2022</v>
      </c>
      <c r="B162">
        <v>9</v>
      </c>
      <c r="C162" t="s">
        <v>187</v>
      </c>
      <c r="D162" t="str">
        <f t="shared" si="2"/>
        <v>Sep</v>
      </c>
      <c r="E162">
        <v>3</v>
      </c>
      <c r="F162" t="s">
        <v>14</v>
      </c>
      <c r="G162" t="s">
        <v>21</v>
      </c>
      <c r="H162">
        <v>818</v>
      </c>
      <c r="I162">
        <v>955</v>
      </c>
      <c r="J162">
        <v>11444.45</v>
      </c>
      <c r="K162">
        <v>8207.4500000000007</v>
      </c>
      <c r="L162">
        <v>3237</v>
      </c>
      <c r="M162">
        <v>35.590000000000003</v>
      </c>
      <c r="N162" s="1" t="s">
        <v>188</v>
      </c>
    </row>
    <row r="163" spans="1:14" x14ac:dyDescent="0.25">
      <c r="A163">
        <v>2022</v>
      </c>
      <c r="B163">
        <v>9</v>
      </c>
      <c r="C163" t="s">
        <v>187</v>
      </c>
      <c r="D163" t="str">
        <f t="shared" si="2"/>
        <v>Sep</v>
      </c>
      <c r="E163">
        <v>3</v>
      </c>
      <c r="F163" t="s">
        <v>14</v>
      </c>
      <c r="G163" t="s">
        <v>19</v>
      </c>
      <c r="H163">
        <v>3612</v>
      </c>
      <c r="I163">
        <v>4411</v>
      </c>
      <c r="J163">
        <v>46485.89</v>
      </c>
      <c r="K163">
        <v>30049.89</v>
      </c>
      <c r="L163">
        <v>16436</v>
      </c>
      <c r="M163">
        <v>40.51</v>
      </c>
      <c r="N163" s="1" t="s">
        <v>189</v>
      </c>
    </row>
    <row r="164" spans="1:14" x14ac:dyDescent="0.25">
      <c r="A164">
        <v>2022</v>
      </c>
      <c r="B164">
        <v>9</v>
      </c>
      <c r="C164" t="s">
        <v>187</v>
      </c>
      <c r="D164" t="str">
        <f t="shared" si="2"/>
        <v>Sep</v>
      </c>
      <c r="E164">
        <v>3</v>
      </c>
      <c r="F164" t="s">
        <v>14</v>
      </c>
      <c r="G164" t="s">
        <v>15</v>
      </c>
      <c r="H164">
        <v>469</v>
      </c>
      <c r="I164">
        <v>722</v>
      </c>
      <c r="J164">
        <v>7962.78</v>
      </c>
      <c r="K164">
        <v>4903.78</v>
      </c>
      <c r="L164">
        <v>3059</v>
      </c>
      <c r="M164">
        <v>42.04</v>
      </c>
      <c r="N164" s="1" t="s">
        <v>190</v>
      </c>
    </row>
    <row r="165" spans="1:14" x14ac:dyDescent="0.25">
      <c r="A165">
        <v>2022</v>
      </c>
      <c r="B165">
        <v>9</v>
      </c>
      <c r="C165" t="s">
        <v>187</v>
      </c>
      <c r="D165" t="str">
        <f t="shared" si="2"/>
        <v>Sep</v>
      </c>
      <c r="E165">
        <v>3</v>
      </c>
      <c r="F165" t="s">
        <v>25</v>
      </c>
      <c r="G165" t="s">
        <v>21</v>
      </c>
      <c r="H165">
        <v>856</v>
      </c>
      <c r="I165">
        <v>1261</v>
      </c>
      <c r="J165">
        <v>6677.39</v>
      </c>
      <c r="K165">
        <v>4491.3900000000003</v>
      </c>
      <c r="L165">
        <v>2186</v>
      </c>
      <c r="M165">
        <v>35.53</v>
      </c>
      <c r="N165" s="1" t="s">
        <v>191</v>
      </c>
    </row>
    <row r="166" spans="1:14" x14ac:dyDescent="0.25">
      <c r="A166">
        <v>2022</v>
      </c>
      <c r="B166">
        <v>9</v>
      </c>
      <c r="C166" t="s">
        <v>187</v>
      </c>
      <c r="D166" t="str">
        <f t="shared" si="2"/>
        <v>Sep</v>
      </c>
      <c r="E166">
        <v>3</v>
      </c>
      <c r="F166" t="s">
        <v>28</v>
      </c>
      <c r="G166" t="s">
        <v>26</v>
      </c>
      <c r="H166">
        <v>1274</v>
      </c>
      <c r="I166">
        <v>1713</v>
      </c>
      <c r="J166">
        <v>22388.87</v>
      </c>
      <c r="K166">
        <v>17329.87</v>
      </c>
      <c r="L166">
        <v>5059</v>
      </c>
      <c r="M166">
        <v>21.95</v>
      </c>
      <c r="N166" s="1" t="s">
        <v>192</v>
      </c>
    </row>
    <row r="167" spans="1:14" x14ac:dyDescent="0.25">
      <c r="A167">
        <v>2022</v>
      </c>
      <c r="B167">
        <v>9</v>
      </c>
      <c r="C167" t="s">
        <v>187</v>
      </c>
      <c r="D167" t="str">
        <f t="shared" si="2"/>
        <v>Sep</v>
      </c>
      <c r="E167">
        <v>3</v>
      </c>
      <c r="F167" t="s">
        <v>17</v>
      </c>
      <c r="G167" t="s">
        <v>15</v>
      </c>
      <c r="H167">
        <v>337</v>
      </c>
      <c r="I167">
        <v>494</v>
      </c>
      <c r="J167">
        <v>8136.06</v>
      </c>
      <c r="K167">
        <v>4419.0600000000004</v>
      </c>
      <c r="L167">
        <v>3717</v>
      </c>
      <c r="M167">
        <v>45.79</v>
      </c>
      <c r="N167" s="1" t="s">
        <v>193</v>
      </c>
    </row>
    <row r="168" spans="1:14" x14ac:dyDescent="0.25">
      <c r="A168">
        <v>2022</v>
      </c>
      <c r="B168">
        <v>9</v>
      </c>
      <c r="C168" t="s">
        <v>187</v>
      </c>
      <c r="D168" t="str">
        <f t="shared" si="2"/>
        <v>Sep</v>
      </c>
      <c r="E168">
        <v>3</v>
      </c>
      <c r="F168" t="s">
        <v>23</v>
      </c>
      <c r="G168" t="s">
        <v>15</v>
      </c>
      <c r="H168">
        <v>582</v>
      </c>
      <c r="I168">
        <v>627</v>
      </c>
      <c r="J168">
        <v>14698.73</v>
      </c>
      <c r="K168">
        <v>11512.73</v>
      </c>
      <c r="L168">
        <v>3186</v>
      </c>
      <c r="M168">
        <v>26.73</v>
      </c>
      <c r="N168" s="1" t="s">
        <v>194</v>
      </c>
    </row>
    <row r="169" spans="1:14" x14ac:dyDescent="0.25">
      <c r="A169">
        <v>2022</v>
      </c>
      <c r="B169">
        <v>9</v>
      </c>
      <c r="C169" t="s">
        <v>187</v>
      </c>
      <c r="D169" t="str">
        <f t="shared" si="2"/>
        <v>Sep</v>
      </c>
      <c r="E169">
        <v>3</v>
      </c>
      <c r="F169" t="s">
        <v>25</v>
      </c>
      <c r="G169" t="s">
        <v>26</v>
      </c>
      <c r="H169">
        <v>1658</v>
      </c>
      <c r="I169">
        <v>2276</v>
      </c>
      <c r="J169">
        <v>14231.24</v>
      </c>
      <c r="K169">
        <v>9721.24</v>
      </c>
      <c r="L169">
        <v>4510</v>
      </c>
      <c r="M169">
        <v>35.92</v>
      </c>
      <c r="N169" s="1" t="s">
        <v>195</v>
      </c>
    </row>
    <row r="170" spans="1:14" x14ac:dyDescent="0.25">
      <c r="A170">
        <v>2022</v>
      </c>
      <c r="B170">
        <v>9</v>
      </c>
      <c r="C170" t="s">
        <v>187</v>
      </c>
      <c r="D170" t="str">
        <f t="shared" si="2"/>
        <v>Sep</v>
      </c>
      <c r="E170">
        <v>3</v>
      </c>
      <c r="F170" t="s">
        <v>17</v>
      </c>
      <c r="G170" t="s">
        <v>21</v>
      </c>
      <c r="H170">
        <v>452</v>
      </c>
      <c r="I170">
        <v>636</v>
      </c>
      <c r="J170">
        <v>10490.64</v>
      </c>
      <c r="K170">
        <v>5715.64</v>
      </c>
      <c r="L170">
        <v>4775</v>
      </c>
      <c r="M170">
        <v>45.11</v>
      </c>
      <c r="N170" s="1" t="s">
        <v>196</v>
      </c>
    </row>
    <row r="171" spans="1:14" x14ac:dyDescent="0.25">
      <c r="A171">
        <v>2022</v>
      </c>
      <c r="B171">
        <v>9</v>
      </c>
      <c r="C171" t="s">
        <v>187</v>
      </c>
      <c r="D171" t="str">
        <f t="shared" si="2"/>
        <v>Sep</v>
      </c>
      <c r="E171">
        <v>3</v>
      </c>
      <c r="F171" t="s">
        <v>23</v>
      </c>
      <c r="G171" t="s">
        <v>19</v>
      </c>
      <c r="H171">
        <v>5530</v>
      </c>
      <c r="I171">
        <v>6327</v>
      </c>
      <c r="J171">
        <v>149823.73000000001</v>
      </c>
      <c r="K171">
        <v>120411.73</v>
      </c>
      <c r="L171">
        <v>29412</v>
      </c>
      <c r="M171">
        <v>24.38</v>
      </c>
      <c r="N171" s="1" t="s">
        <v>197</v>
      </c>
    </row>
    <row r="172" spans="1:14" x14ac:dyDescent="0.25">
      <c r="A172">
        <v>2022</v>
      </c>
      <c r="B172">
        <v>9</v>
      </c>
      <c r="C172" t="s">
        <v>187</v>
      </c>
      <c r="D172" t="str">
        <f t="shared" si="2"/>
        <v>Sep</v>
      </c>
      <c r="E172">
        <v>3</v>
      </c>
      <c r="F172" t="s">
        <v>25</v>
      </c>
      <c r="G172" t="s">
        <v>15</v>
      </c>
      <c r="H172">
        <v>574</v>
      </c>
      <c r="I172">
        <v>786</v>
      </c>
      <c r="J172">
        <v>5966.14</v>
      </c>
      <c r="K172">
        <v>4069.14</v>
      </c>
      <c r="L172">
        <v>1897</v>
      </c>
      <c r="M172">
        <v>34.03</v>
      </c>
      <c r="N172" s="1" t="s">
        <v>198</v>
      </c>
    </row>
    <row r="173" spans="1:14" x14ac:dyDescent="0.25">
      <c r="A173">
        <v>2022</v>
      </c>
      <c r="B173">
        <v>9</v>
      </c>
      <c r="C173" t="s">
        <v>187</v>
      </c>
      <c r="D173" t="str">
        <f t="shared" si="2"/>
        <v>Sep</v>
      </c>
      <c r="E173">
        <v>3</v>
      </c>
      <c r="F173" t="s">
        <v>17</v>
      </c>
      <c r="G173" t="s">
        <v>19</v>
      </c>
      <c r="H173">
        <v>2673</v>
      </c>
      <c r="I173">
        <v>3388</v>
      </c>
      <c r="J173">
        <v>57789.120000000003</v>
      </c>
      <c r="K173">
        <v>32860.120000000003</v>
      </c>
      <c r="L173">
        <v>24929</v>
      </c>
      <c r="M173">
        <v>44.95</v>
      </c>
      <c r="N173" s="1" t="s">
        <v>199</v>
      </c>
    </row>
    <row r="174" spans="1:14" x14ac:dyDescent="0.25">
      <c r="A174">
        <v>2022</v>
      </c>
      <c r="B174">
        <v>9</v>
      </c>
      <c r="C174" t="s">
        <v>187</v>
      </c>
      <c r="D174" t="str">
        <f t="shared" si="2"/>
        <v>Sep</v>
      </c>
      <c r="E174">
        <v>3</v>
      </c>
      <c r="F174" t="s">
        <v>28</v>
      </c>
      <c r="G174" t="s">
        <v>15</v>
      </c>
      <c r="H174">
        <v>378</v>
      </c>
      <c r="I174">
        <v>482</v>
      </c>
      <c r="J174">
        <v>5683.18</v>
      </c>
      <c r="K174">
        <v>4669.18</v>
      </c>
      <c r="L174">
        <v>1014</v>
      </c>
      <c r="M174">
        <v>17.04</v>
      </c>
      <c r="N174" s="1" t="s">
        <v>200</v>
      </c>
    </row>
    <row r="175" spans="1:14" x14ac:dyDescent="0.25">
      <c r="A175">
        <v>2022</v>
      </c>
      <c r="B175">
        <v>9</v>
      </c>
      <c r="C175" t="s">
        <v>187</v>
      </c>
      <c r="D175" t="str">
        <f t="shared" si="2"/>
        <v>Sep</v>
      </c>
      <c r="E175">
        <v>3</v>
      </c>
      <c r="F175" t="s">
        <v>23</v>
      </c>
      <c r="G175" t="s">
        <v>21</v>
      </c>
      <c r="H175">
        <v>1200</v>
      </c>
      <c r="I175">
        <v>1469</v>
      </c>
      <c r="J175">
        <v>32150.31</v>
      </c>
      <c r="K175">
        <v>25374.31</v>
      </c>
      <c r="L175">
        <v>6776</v>
      </c>
      <c r="M175">
        <v>26.27</v>
      </c>
      <c r="N175" s="1" t="s">
        <v>201</v>
      </c>
    </row>
    <row r="176" spans="1:14" x14ac:dyDescent="0.25">
      <c r="A176">
        <v>2022</v>
      </c>
      <c r="B176">
        <v>9</v>
      </c>
      <c r="C176" t="s">
        <v>187</v>
      </c>
      <c r="D176" t="str">
        <f t="shared" si="2"/>
        <v>Sep</v>
      </c>
      <c r="E176">
        <v>3</v>
      </c>
      <c r="F176" t="s">
        <v>25</v>
      </c>
      <c r="G176" t="s">
        <v>19</v>
      </c>
      <c r="H176">
        <v>4824</v>
      </c>
      <c r="I176">
        <v>7088</v>
      </c>
      <c r="J176">
        <v>41495.120000000003</v>
      </c>
      <c r="K176">
        <v>28099.119999999999</v>
      </c>
      <c r="L176">
        <v>13396</v>
      </c>
      <c r="M176">
        <v>36.21</v>
      </c>
      <c r="N176" s="1" t="s">
        <v>202</v>
      </c>
    </row>
    <row r="177" spans="1:14" x14ac:dyDescent="0.25">
      <c r="A177">
        <v>2022</v>
      </c>
      <c r="B177">
        <v>9</v>
      </c>
      <c r="C177" t="s">
        <v>187</v>
      </c>
      <c r="D177" t="str">
        <f t="shared" si="2"/>
        <v>Sep</v>
      </c>
      <c r="E177">
        <v>3</v>
      </c>
      <c r="F177" t="s">
        <v>28</v>
      </c>
      <c r="G177" t="s">
        <v>19</v>
      </c>
      <c r="H177">
        <v>2689</v>
      </c>
      <c r="I177">
        <v>3257</v>
      </c>
      <c r="J177">
        <v>41564.43</v>
      </c>
      <c r="K177">
        <v>31929.43</v>
      </c>
      <c r="L177">
        <v>9635</v>
      </c>
      <c r="M177">
        <v>21.33</v>
      </c>
      <c r="N177" s="1" t="s">
        <v>203</v>
      </c>
    </row>
    <row r="178" spans="1:14" x14ac:dyDescent="0.25">
      <c r="A178">
        <v>2022</v>
      </c>
      <c r="B178">
        <v>9</v>
      </c>
      <c r="C178" t="s">
        <v>187</v>
      </c>
      <c r="D178" t="str">
        <f t="shared" si="2"/>
        <v>Sep</v>
      </c>
      <c r="E178">
        <v>3</v>
      </c>
      <c r="F178" t="s">
        <v>23</v>
      </c>
      <c r="G178" t="s">
        <v>26</v>
      </c>
      <c r="H178">
        <v>1992</v>
      </c>
      <c r="I178">
        <v>2312</v>
      </c>
      <c r="J178">
        <v>53288.88</v>
      </c>
      <c r="K178">
        <v>42306.879999999997</v>
      </c>
      <c r="L178">
        <v>10982</v>
      </c>
      <c r="M178">
        <v>26.54</v>
      </c>
      <c r="N178" s="1" t="s">
        <v>204</v>
      </c>
    </row>
    <row r="179" spans="1:14" x14ac:dyDescent="0.25">
      <c r="A179">
        <v>2022</v>
      </c>
      <c r="B179">
        <v>9</v>
      </c>
      <c r="C179" t="s">
        <v>187</v>
      </c>
      <c r="D179" t="str">
        <f t="shared" si="2"/>
        <v>Sep</v>
      </c>
      <c r="E179">
        <v>3</v>
      </c>
      <c r="F179" t="s">
        <v>28</v>
      </c>
      <c r="G179" t="s">
        <v>21</v>
      </c>
      <c r="H179">
        <v>471</v>
      </c>
      <c r="I179">
        <v>687</v>
      </c>
      <c r="J179">
        <v>9062.1299999999992</v>
      </c>
      <c r="K179">
        <v>6735.13</v>
      </c>
      <c r="L179">
        <v>2327</v>
      </c>
      <c r="M179">
        <v>24.16</v>
      </c>
      <c r="N179" s="1" t="s">
        <v>205</v>
      </c>
    </row>
    <row r="180" spans="1:14" x14ac:dyDescent="0.25">
      <c r="A180">
        <v>2022</v>
      </c>
      <c r="B180">
        <v>9</v>
      </c>
      <c r="C180" t="s">
        <v>187</v>
      </c>
      <c r="D180" t="str">
        <f t="shared" si="2"/>
        <v>Sep</v>
      </c>
      <c r="E180">
        <v>3</v>
      </c>
      <c r="F180" t="s">
        <v>14</v>
      </c>
      <c r="G180" t="s">
        <v>26</v>
      </c>
      <c r="H180">
        <v>1253</v>
      </c>
      <c r="I180">
        <v>1402</v>
      </c>
      <c r="J180">
        <v>15939.98</v>
      </c>
      <c r="K180">
        <v>10684.98</v>
      </c>
      <c r="L180">
        <v>5255</v>
      </c>
      <c r="M180">
        <v>38.770000000000003</v>
      </c>
      <c r="N180" s="1" t="s">
        <v>206</v>
      </c>
    </row>
    <row r="181" spans="1:14" x14ac:dyDescent="0.25">
      <c r="A181">
        <v>2022</v>
      </c>
      <c r="B181">
        <v>9</v>
      </c>
      <c r="C181" t="s">
        <v>187</v>
      </c>
      <c r="D181" t="str">
        <f t="shared" si="2"/>
        <v>Sep</v>
      </c>
      <c r="E181">
        <v>3</v>
      </c>
      <c r="F181" t="s">
        <v>17</v>
      </c>
      <c r="G181" t="s">
        <v>26</v>
      </c>
      <c r="H181">
        <v>1325</v>
      </c>
      <c r="I181">
        <v>1903</v>
      </c>
      <c r="J181">
        <v>30564.97</v>
      </c>
      <c r="K181">
        <v>15955.97</v>
      </c>
      <c r="L181">
        <v>14609</v>
      </c>
      <c r="M181">
        <v>48.95</v>
      </c>
      <c r="N181" s="1" t="s">
        <v>207</v>
      </c>
    </row>
    <row r="182" spans="1:14" x14ac:dyDescent="0.25">
      <c r="A182">
        <v>2022</v>
      </c>
      <c r="B182">
        <v>10</v>
      </c>
      <c r="C182" t="s">
        <v>208</v>
      </c>
      <c r="D182" t="str">
        <f t="shared" si="2"/>
        <v>Oct</v>
      </c>
      <c r="E182">
        <v>4</v>
      </c>
      <c r="F182" t="s">
        <v>23</v>
      </c>
      <c r="G182" t="s">
        <v>15</v>
      </c>
      <c r="H182">
        <v>620</v>
      </c>
      <c r="I182">
        <v>746</v>
      </c>
      <c r="J182">
        <v>15570.54</v>
      </c>
      <c r="K182">
        <v>12185.54</v>
      </c>
      <c r="L182">
        <v>3385</v>
      </c>
      <c r="M182">
        <v>26.21</v>
      </c>
      <c r="N182" s="1" t="s">
        <v>209</v>
      </c>
    </row>
    <row r="183" spans="1:14" x14ac:dyDescent="0.25">
      <c r="A183">
        <v>2022</v>
      </c>
      <c r="B183">
        <v>10</v>
      </c>
      <c r="C183" t="s">
        <v>208</v>
      </c>
      <c r="D183" t="str">
        <f t="shared" si="2"/>
        <v>Oct</v>
      </c>
      <c r="E183">
        <v>4</v>
      </c>
      <c r="F183" t="s">
        <v>25</v>
      </c>
      <c r="G183" t="s">
        <v>26</v>
      </c>
      <c r="H183">
        <v>1968</v>
      </c>
      <c r="I183">
        <v>2768</v>
      </c>
      <c r="J183">
        <v>16493.32</v>
      </c>
      <c r="K183">
        <v>10905.32</v>
      </c>
      <c r="L183">
        <v>5588</v>
      </c>
      <c r="M183">
        <v>38.06</v>
      </c>
      <c r="N183" s="1" t="s">
        <v>210</v>
      </c>
    </row>
    <row r="184" spans="1:14" x14ac:dyDescent="0.25">
      <c r="A184">
        <v>2022</v>
      </c>
      <c r="B184">
        <v>10</v>
      </c>
      <c r="C184" t="s">
        <v>208</v>
      </c>
      <c r="D184" t="str">
        <f t="shared" si="2"/>
        <v>Oct</v>
      </c>
      <c r="E184">
        <v>4</v>
      </c>
      <c r="F184" t="s">
        <v>17</v>
      </c>
      <c r="G184" t="s">
        <v>15</v>
      </c>
      <c r="H184">
        <v>560</v>
      </c>
      <c r="I184">
        <v>873</v>
      </c>
      <c r="J184">
        <v>14621.27</v>
      </c>
      <c r="K184">
        <v>8128.27</v>
      </c>
      <c r="L184">
        <v>6493</v>
      </c>
      <c r="M184">
        <v>46.16</v>
      </c>
      <c r="N184" s="1" t="s">
        <v>211</v>
      </c>
    </row>
    <row r="185" spans="1:14" x14ac:dyDescent="0.25">
      <c r="A185">
        <v>2022</v>
      </c>
      <c r="B185">
        <v>10</v>
      </c>
      <c r="C185" t="s">
        <v>208</v>
      </c>
      <c r="D185" t="str">
        <f t="shared" si="2"/>
        <v>Oct</v>
      </c>
      <c r="E185">
        <v>4</v>
      </c>
      <c r="F185" t="s">
        <v>14</v>
      </c>
      <c r="G185" t="s">
        <v>19</v>
      </c>
      <c r="H185">
        <v>4492</v>
      </c>
      <c r="I185">
        <v>5287</v>
      </c>
      <c r="J185">
        <v>63187.13</v>
      </c>
      <c r="K185">
        <v>44228.13</v>
      </c>
      <c r="L185">
        <v>18959</v>
      </c>
      <c r="M185">
        <v>37.01</v>
      </c>
      <c r="N185" s="1" t="s">
        <v>212</v>
      </c>
    </row>
    <row r="186" spans="1:14" x14ac:dyDescent="0.25">
      <c r="A186">
        <v>2022</v>
      </c>
      <c r="B186">
        <v>10</v>
      </c>
      <c r="C186" t="s">
        <v>208</v>
      </c>
      <c r="D186" t="str">
        <f t="shared" si="2"/>
        <v>Oct</v>
      </c>
      <c r="E186">
        <v>4</v>
      </c>
      <c r="F186" t="s">
        <v>17</v>
      </c>
      <c r="G186" t="s">
        <v>19</v>
      </c>
      <c r="H186">
        <v>2432</v>
      </c>
      <c r="I186">
        <v>3126</v>
      </c>
      <c r="J186">
        <v>54224.74</v>
      </c>
      <c r="K186">
        <v>31442.74</v>
      </c>
      <c r="L186">
        <v>22782</v>
      </c>
      <c r="M186">
        <v>44.71</v>
      </c>
      <c r="N186" s="1" t="s">
        <v>213</v>
      </c>
    </row>
    <row r="187" spans="1:14" x14ac:dyDescent="0.25">
      <c r="A187">
        <v>2022</v>
      </c>
      <c r="B187">
        <v>10</v>
      </c>
      <c r="C187" t="s">
        <v>208</v>
      </c>
      <c r="D187" t="str">
        <f t="shared" si="2"/>
        <v>Oct</v>
      </c>
      <c r="E187">
        <v>4</v>
      </c>
      <c r="F187" t="s">
        <v>28</v>
      </c>
      <c r="G187" t="s">
        <v>19</v>
      </c>
      <c r="H187">
        <v>2629</v>
      </c>
      <c r="I187">
        <v>3299</v>
      </c>
      <c r="J187">
        <v>42412.01</v>
      </c>
      <c r="K187">
        <v>32486.01</v>
      </c>
      <c r="L187">
        <v>9926</v>
      </c>
      <c r="M187">
        <v>21.87</v>
      </c>
      <c r="N187" s="1" t="s">
        <v>214</v>
      </c>
    </row>
    <row r="188" spans="1:14" x14ac:dyDescent="0.25">
      <c r="A188">
        <v>2022</v>
      </c>
      <c r="B188">
        <v>10</v>
      </c>
      <c r="C188" t="s">
        <v>208</v>
      </c>
      <c r="D188" t="str">
        <f t="shared" si="2"/>
        <v>Oct</v>
      </c>
      <c r="E188">
        <v>4</v>
      </c>
      <c r="F188" t="s">
        <v>14</v>
      </c>
      <c r="G188" t="s">
        <v>15</v>
      </c>
      <c r="H188">
        <v>727</v>
      </c>
      <c r="I188">
        <v>885</v>
      </c>
      <c r="J188">
        <v>10184.15</v>
      </c>
      <c r="K188">
        <v>7175.15</v>
      </c>
      <c r="L188">
        <v>3009</v>
      </c>
      <c r="M188">
        <v>37.58</v>
      </c>
      <c r="N188" s="1" t="s">
        <v>215</v>
      </c>
    </row>
    <row r="189" spans="1:14" x14ac:dyDescent="0.25">
      <c r="A189">
        <v>2022</v>
      </c>
      <c r="B189">
        <v>10</v>
      </c>
      <c r="C189" t="s">
        <v>208</v>
      </c>
      <c r="D189" t="str">
        <f t="shared" si="2"/>
        <v>Oct</v>
      </c>
      <c r="E189">
        <v>4</v>
      </c>
      <c r="F189" t="s">
        <v>14</v>
      </c>
      <c r="G189" t="s">
        <v>21</v>
      </c>
      <c r="H189">
        <v>840</v>
      </c>
      <c r="I189">
        <v>1014</v>
      </c>
      <c r="J189">
        <v>12482.86</v>
      </c>
      <c r="K189">
        <v>9354.86</v>
      </c>
      <c r="L189">
        <v>3128</v>
      </c>
      <c r="M189">
        <v>32.869999999999997</v>
      </c>
      <c r="N189" s="1" t="s">
        <v>216</v>
      </c>
    </row>
    <row r="190" spans="1:14" x14ac:dyDescent="0.25">
      <c r="A190">
        <v>2022</v>
      </c>
      <c r="B190">
        <v>10</v>
      </c>
      <c r="C190" t="s">
        <v>208</v>
      </c>
      <c r="D190" t="str">
        <f t="shared" si="2"/>
        <v>Oct</v>
      </c>
      <c r="E190">
        <v>4</v>
      </c>
      <c r="F190" t="s">
        <v>25</v>
      </c>
      <c r="G190" t="s">
        <v>19</v>
      </c>
      <c r="H190">
        <v>5830</v>
      </c>
      <c r="I190">
        <v>9536</v>
      </c>
      <c r="J190">
        <v>50272.639999999999</v>
      </c>
      <c r="K190">
        <v>32370.639999999999</v>
      </c>
      <c r="L190">
        <v>17902</v>
      </c>
      <c r="M190">
        <v>38.42</v>
      </c>
      <c r="N190" s="1" t="s">
        <v>217</v>
      </c>
    </row>
    <row r="191" spans="1:14" x14ac:dyDescent="0.25">
      <c r="A191">
        <v>2022</v>
      </c>
      <c r="B191">
        <v>10</v>
      </c>
      <c r="C191" t="s">
        <v>208</v>
      </c>
      <c r="D191" t="str">
        <f t="shared" si="2"/>
        <v>Oct</v>
      </c>
      <c r="E191">
        <v>4</v>
      </c>
      <c r="F191" t="s">
        <v>28</v>
      </c>
      <c r="G191" t="s">
        <v>26</v>
      </c>
      <c r="H191">
        <v>1145</v>
      </c>
      <c r="I191">
        <v>1330</v>
      </c>
      <c r="J191">
        <v>16726.7</v>
      </c>
      <c r="K191">
        <v>12432.7</v>
      </c>
      <c r="L191">
        <v>4294</v>
      </c>
      <c r="M191">
        <v>22.1</v>
      </c>
      <c r="N191" s="1" t="s">
        <v>218</v>
      </c>
    </row>
    <row r="192" spans="1:14" x14ac:dyDescent="0.25">
      <c r="A192">
        <v>2022</v>
      </c>
      <c r="B192">
        <v>10</v>
      </c>
      <c r="C192" t="s">
        <v>208</v>
      </c>
      <c r="D192" t="str">
        <f t="shared" si="2"/>
        <v>Oct</v>
      </c>
      <c r="E192">
        <v>4</v>
      </c>
      <c r="F192" t="s">
        <v>14</v>
      </c>
      <c r="G192" t="s">
        <v>26</v>
      </c>
      <c r="H192">
        <v>1411</v>
      </c>
      <c r="I192">
        <v>1675</v>
      </c>
      <c r="J192">
        <v>18671.25</v>
      </c>
      <c r="K192">
        <v>12452.25</v>
      </c>
      <c r="L192">
        <v>6219</v>
      </c>
      <c r="M192">
        <v>39.67</v>
      </c>
      <c r="N192" s="1" t="s">
        <v>219</v>
      </c>
    </row>
    <row r="193" spans="1:14" x14ac:dyDescent="0.25">
      <c r="A193">
        <v>2022</v>
      </c>
      <c r="B193">
        <v>10</v>
      </c>
      <c r="C193" t="s">
        <v>208</v>
      </c>
      <c r="D193" t="str">
        <f t="shared" si="2"/>
        <v>Oct</v>
      </c>
      <c r="E193">
        <v>4</v>
      </c>
      <c r="F193" t="s">
        <v>17</v>
      </c>
      <c r="G193" t="s">
        <v>26</v>
      </c>
      <c r="H193">
        <v>1335</v>
      </c>
      <c r="I193">
        <v>1853</v>
      </c>
      <c r="J193">
        <v>31215.47</v>
      </c>
      <c r="K193">
        <v>17462.47</v>
      </c>
      <c r="L193">
        <v>13753</v>
      </c>
      <c r="M193">
        <v>44.79</v>
      </c>
      <c r="N193" s="1" t="s">
        <v>220</v>
      </c>
    </row>
    <row r="194" spans="1:14" x14ac:dyDescent="0.25">
      <c r="A194">
        <v>2022</v>
      </c>
      <c r="B194">
        <v>10</v>
      </c>
      <c r="C194" t="s">
        <v>208</v>
      </c>
      <c r="D194" t="str">
        <f t="shared" ref="D194:D257" si="3">LEFT(C194,3)</f>
        <v>Oct</v>
      </c>
      <c r="E194">
        <v>4</v>
      </c>
      <c r="F194" t="s">
        <v>23</v>
      </c>
      <c r="G194" t="s">
        <v>26</v>
      </c>
      <c r="H194">
        <v>2191</v>
      </c>
      <c r="I194">
        <v>2746</v>
      </c>
      <c r="J194">
        <v>64291.54</v>
      </c>
      <c r="K194">
        <v>52048.54</v>
      </c>
      <c r="L194">
        <v>12243</v>
      </c>
      <c r="M194">
        <v>24.44</v>
      </c>
      <c r="N194" s="1" t="s">
        <v>221</v>
      </c>
    </row>
    <row r="195" spans="1:14" x14ac:dyDescent="0.25">
      <c r="A195">
        <v>2022</v>
      </c>
      <c r="B195">
        <v>10</v>
      </c>
      <c r="C195" t="s">
        <v>208</v>
      </c>
      <c r="D195" t="str">
        <f t="shared" si="3"/>
        <v>Oct</v>
      </c>
      <c r="E195">
        <v>4</v>
      </c>
      <c r="F195" t="s">
        <v>28</v>
      </c>
      <c r="G195" t="s">
        <v>15</v>
      </c>
      <c r="H195">
        <v>338</v>
      </c>
      <c r="I195">
        <v>407</v>
      </c>
      <c r="J195">
        <v>5416.93</v>
      </c>
      <c r="K195">
        <v>4293.93</v>
      </c>
      <c r="L195">
        <v>1123</v>
      </c>
      <c r="M195">
        <v>18.77</v>
      </c>
      <c r="N195" s="1" t="s">
        <v>222</v>
      </c>
    </row>
    <row r="196" spans="1:14" x14ac:dyDescent="0.25">
      <c r="A196">
        <v>2022</v>
      </c>
      <c r="B196">
        <v>10</v>
      </c>
      <c r="C196" t="s">
        <v>208</v>
      </c>
      <c r="D196" t="str">
        <f t="shared" si="3"/>
        <v>Oct</v>
      </c>
      <c r="E196">
        <v>4</v>
      </c>
      <c r="F196" t="s">
        <v>23</v>
      </c>
      <c r="G196" t="s">
        <v>19</v>
      </c>
      <c r="H196">
        <v>5583</v>
      </c>
      <c r="I196">
        <v>6526</v>
      </c>
      <c r="J196">
        <v>135720.74</v>
      </c>
      <c r="K196">
        <v>105654.74</v>
      </c>
      <c r="L196">
        <v>30066</v>
      </c>
      <c r="M196">
        <v>26.83</v>
      </c>
      <c r="N196" s="1" t="s">
        <v>223</v>
      </c>
    </row>
    <row r="197" spans="1:14" x14ac:dyDescent="0.25">
      <c r="A197">
        <v>2022</v>
      </c>
      <c r="B197">
        <v>10</v>
      </c>
      <c r="C197" t="s">
        <v>208</v>
      </c>
      <c r="D197" t="str">
        <f t="shared" si="3"/>
        <v>Oct</v>
      </c>
      <c r="E197">
        <v>4</v>
      </c>
      <c r="F197" t="s">
        <v>17</v>
      </c>
      <c r="G197" t="s">
        <v>21</v>
      </c>
      <c r="H197">
        <v>626</v>
      </c>
      <c r="I197">
        <v>783</v>
      </c>
      <c r="J197">
        <v>13734.17</v>
      </c>
      <c r="K197">
        <v>8087.17</v>
      </c>
      <c r="L197">
        <v>5647</v>
      </c>
      <c r="M197">
        <v>42.89</v>
      </c>
      <c r="N197" s="1" t="s">
        <v>224</v>
      </c>
    </row>
    <row r="198" spans="1:14" x14ac:dyDescent="0.25">
      <c r="A198">
        <v>2022</v>
      </c>
      <c r="B198">
        <v>10</v>
      </c>
      <c r="C198" t="s">
        <v>208</v>
      </c>
      <c r="D198" t="str">
        <f t="shared" si="3"/>
        <v>Oct</v>
      </c>
      <c r="E198">
        <v>4</v>
      </c>
      <c r="F198" t="s">
        <v>23</v>
      </c>
      <c r="G198" t="s">
        <v>21</v>
      </c>
      <c r="H198">
        <v>1282</v>
      </c>
      <c r="I198">
        <v>1488</v>
      </c>
      <c r="J198">
        <v>33015.120000000003</v>
      </c>
      <c r="K198">
        <v>26718.12</v>
      </c>
      <c r="L198">
        <v>6297</v>
      </c>
      <c r="M198">
        <v>24.9</v>
      </c>
      <c r="N198" s="1" t="s">
        <v>225</v>
      </c>
    </row>
    <row r="199" spans="1:14" x14ac:dyDescent="0.25">
      <c r="A199">
        <v>2022</v>
      </c>
      <c r="B199">
        <v>10</v>
      </c>
      <c r="C199" t="s">
        <v>208</v>
      </c>
      <c r="D199" t="str">
        <f t="shared" si="3"/>
        <v>Oct</v>
      </c>
      <c r="E199">
        <v>4</v>
      </c>
      <c r="F199" t="s">
        <v>25</v>
      </c>
      <c r="G199" t="s">
        <v>21</v>
      </c>
      <c r="H199">
        <v>1000</v>
      </c>
      <c r="I199">
        <v>1374</v>
      </c>
      <c r="J199">
        <v>7813.26</v>
      </c>
      <c r="K199">
        <v>5238.26</v>
      </c>
      <c r="L199">
        <v>2575</v>
      </c>
      <c r="M199">
        <v>36.21</v>
      </c>
      <c r="N199" s="1" t="s">
        <v>226</v>
      </c>
    </row>
    <row r="200" spans="1:14" x14ac:dyDescent="0.25">
      <c r="A200">
        <v>2022</v>
      </c>
      <c r="B200">
        <v>10</v>
      </c>
      <c r="C200" t="s">
        <v>208</v>
      </c>
      <c r="D200" t="str">
        <f t="shared" si="3"/>
        <v>Oct</v>
      </c>
      <c r="E200">
        <v>4</v>
      </c>
      <c r="F200" t="s">
        <v>25</v>
      </c>
      <c r="G200" t="s">
        <v>15</v>
      </c>
      <c r="H200">
        <v>983</v>
      </c>
      <c r="I200">
        <v>1632</v>
      </c>
      <c r="J200">
        <v>11018.68</v>
      </c>
      <c r="K200">
        <v>7326.68</v>
      </c>
      <c r="L200">
        <v>3692</v>
      </c>
      <c r="M200">
        <v>35.6</v>
      </c>
      <c r="N200" s="1" t="s">
        <v>227</v>
      </c>
    </row>
    <row r="201" spans="1:14" x14ac:dyDescent="0.25">
      <c r="A201">
        <v>2022</v>
      </c>
      <c r="B201">
        <v>10</v>
      </c>
      <c r="C201" t="s">
        <v>208</v>
      </c>
      <c r="D201" t="str">
        <f t="shared" si="3"/>
        <v>Oct</v>
      </c>
      <c r="E201">
        <v>4</v>
      </c>
      <c r="F201" t="s">
        <v>28</v>
      </c>
      <c r="G201" t="s">
        <v>21</v>
      </c>
      <c r="H201">
        <v>459</v>
      </c>
      <c r="I201">
        <v>513</v>
      </c>
      <c r="J201">
        <v>6801.87</v>
      </c>
      <c r="K201">
        <v>5083.87</v>
      </c>
      <c r="L201">
        <v>1718</v>
      </c>
      <c r="M201">
        <v>23.03</v>
      </c>
      <c r="N201" s="1" t="s">
        <v>228</v>
      </c>
    </row>
    <row r="202" spans="1:14" x14ac:dyDescent="0.25">
      <c r="A202">
        <v>2022</v>
      </c>
      <c r="B202">
        <v>11</v>
      </c>
      <c r="C202" t="s">
        <v>229</v>
      </c>
      <c r="D202" t="str">
        <f t="shared" si="3"/>
        <v>Nov</v>
      </c>
      <c r="E202">
        <v>4</v>
      </c>
      <c r="F202" t="s">
        <v>14</v>
      </c>
      <c r="G202" t="s">
        <v>26</v>
      </c>
      <c r="H202">
        <v>1758</v>
      </c>
      <c r="I202">
        <v>1986</v>
      </c>
      <c r="J202">
        <v>22993.14</v>
      </c>
      <c r="K202">
        <v>16018.14</v>
      </c>
      <c r="L202">
        <v>6975</v>
      </c>
      <c r="M202">
        <v>36.119999999999997</v>
      </c>
      <c r="N202" s="1" t="s">
        <v>230</v>
      </c>
    </row>
    <row r="203" spans="1:14" x14ac:dyDescent="0.25">
      <c r="A203">
        <v>2022</v>
      </c>
      <c r="B203">
        <v>11</v>
      </c>
      <c r="C203" t="s">
        <v>229</v>
      </c>
      <c r="D203" t="str">
        <f t="shared" si="3"/>
        <v>Nov</v>
      </c>
      <c r="E203">
        <v>4</v>
      </c>
      <c r="F203" t="s">
        <v>17</v>
      </c>
      <c r="G203" t="s">
        <v>26</v>
      </c>
      <c r="H203">
        <v>1249</v>
      </c>
      <c r="I203">
        <v>1772</v>
      </c>
      <c r="J203">
        <v>28929.279999999999</v>
      </c>
      <c r="K203">
        <v>15520.28</v>
      </c>
      <c r="L203">
        <v>13409</v>
      </c>
      <c r="M203">
        <v>46.7</v>
      </c>
      <c r="N203" s="1" t="s">
        <v>231</v>
      </c>
    </row>
    <row r="204" spans="1:14" x14ac:dyDescent="0.25">
      <c r="A204">
        <v>2022</v>
      </c>
      <c r="B204">
        <v>11</v>
      </c>
      <c r="C204" t="s">
        <v>229</v>
      </c>
      <c r="D204" t="str">
        <f t="shared" si="3"/>
        <v>Nov</v>
      </c>
      <c r="E204">
        <v>4</v>
      </c>
      <c r="F204" t="s">
        <v>28</v>
      </c>
      <c r="G204" t="s">
        <v>19</v>
      </c>
      <c r="H204">
        <v>2789</v>
      </c>
      <c r="I204">
        <v>3409</v>
      </c>
      <c r="J204">
        <v>44346.91</v>
      </c>
      <c r="K204">
        <v>33993.910000000003</v>
      </c>
      <c r="L204">
        <v>10353</v>
      </c>
      <c r="M204">
        <v>22.38</v>
      </c>
      <c r="N204" s="1" t="s">
        <v>232</v>
      </c>
    </row>
    <row r="205" spans="1:14" x14ac:dyDescent="0.25">
      <c r="A205">
        <v>2022</v>
      </c>
      <c r="B205">
        <v>11</v>
      </c>
      <c r="C205" t="s">
        <v>229</v>
      </c>
      <c r="D205" t="str">
        <f t="shared" si="3"/>
        <v>Nov</v>
      </c>
      <c r="E205">
        <v>4</v>
      </c>
      <c r="F205" t="s">
        <v>28</v>
      </c>
      <c r="G205" t="s">
        <v>15</v>
      </c>
      <c r="H205">
        <v>397</v>
      </c>
      <c r="I205">
        <v>431</v>
      </c>
      <c r="J205">
        <v>5495.69</v>
      </c>
      <c r="K205">
        <v>4363.6899999999996</v>
      </c>
      <c r="L205">
        <v>1132</v>
      </c>
      <c r="M205">
        <v>19.29</v>
      </c>
      <c r="N205" s="1" t="s">
        <v>233</v>
      </c>
    </row>
    <row r="206" spans="1:14" x14ac:dyDescent="0.25">
      <c r="A206">
        <v>2022</v>
      </c>
      <c r="B206">
        <v>11</v>
      </c>
      <c r="C206" t="s">
        <v>229</v>
      </c>
      <c r="D206" t="str">
        <f t="shared" si="3"/>
        <v>Nov</v>
      </c>
      <c r="E206">
        <v>4</v>
      </c>
      <c r="F206" t="s">
        <v>14</v>
      </c>
      <c r="G206" t="s">
        <v>15</v>
      </c>
      <c r="H206">
        <v>712</v>
      </c>
      <c r="I206">
        <v>947</v>
      </c>
      <c r="J206">
        <v>11768.53</v>
      </c>
      <c r="K206">
        <v>8288.5300000000007</v>
      </c>
      <c r="L206">
        <v>3480</v>
      </c>
      <c r="M206">
        <v>34.409999999999997</v>
      </c>
      <c r="N206" s="1" t="s">
        <v>234</v>
      </c>
    </row>
    <row r="207" spans="1:14" x14ac:dyDescent="0.25">
      <c r="A207">
        <v>2022</v>
      </c>
      <c r="B207">
        <v>11</v>
      </c>
      <c r="C207" t="s">
        <v>229</v>
      </c>
      <c r="D207" t="str">
        <f t="shared" si="3"/>
        <v>Nov</v>
      </c>
      <c r="E207">
        <v>4</v>
      </c>
      <c r="F207" t="s">
        <v>14</v>
      </c>
      <c r="G207" t="s">
        <v>19</v>
      </c>
      <c r="H207">
        <v>4205</v>
      </c>
      <c r="I207">
        <v>5539</v>
      </c>
      <c r="J207">
        <v>66993.61</v>
      </c>
      <c r="K207">
        <v>47112.61</v>
      </c>
      <c r="L207">
        <v>19881</v>
      </c>
      <c r="M207">
        <v>35.26</v>
      </c>
      <c r="N207" s="1" t="s">
        <v>235</v>
      </c>
    </row>
    <row r="208" spans="1:14" x14ac:dyDescent="0.25">
      <c r="A208">
        <v>2022</v>
      </c>
      <c r="B208">
        <v>11</v>
      </c>
      <c r="C208" t="s">
        <v>229</v>
      </c>
      <c r="D208" t="str">
        <f t="shared" si="3"/>
        <v>Nov</v>
      </c>
      <c r="E208">
        <v>4</v>
      </c>
      <c r="F208" t="s">
        <v>17</v>
      </c>
      <c r="G208" t="s">
        <v>19</v>
      </c>
      <c r="H208">
        <v>2272</v>
      </c>
      <c r="I208">
        <v>2731</v>
      </c>
      <c r="J208">
        <v>47794.69</v>
      </c>
      <c r="K208">
        <v>28039.69</v>
      </c>
      <c r="L208">
        <v>19755</v>
      </c>
      <c r="M208">
        <v>43.75</v>
      </c>
      <c r="N208" s="1" t="s">
        <v>236</v>
      </c>
    </row>
    <row r="209" spans="1:14" x14ac:dyDescent="0.25">
      <c r="A209">
        <v>2022</v>
      </c>
      <c r="B209">
        <v>11</v>
      </c>
      <c r="C209" t="s">
        <v>229</v>
      </c>
      <c r="D209" t="str">
        <f t="shared" si="3"/>
        <v>Nov</v>
      </c>
      <c r="E209">
        <v>4</v>
      </c>
      <c r="F209" t="s">
        <v>23</v>
      </c>
      <c r="G209" t="s">
        <v>21</v>
      </c>
      <c r="H209">
        <v>1439</v>
      </c>
      <c r="I209">
        <v>1722</v>
      </c>
      <c r="J209">
        <v>38493.78</v>
      </c>
      <c r="K209">
        <v>30608.78</v>
      </c>
      <c r="L209">
        <v>7885</v>
      </c>
      <c r="M209">
        <v>26.81</v>
      </c>
      <c r="N209" s="1" t="s">
        <v>237</v>
      </c>
    </row>
    <row r="210" spans="1:14" x14ac:dyDescent="0.25">
      <c r="A210">
        <v>2022</v>
      </c>
      <c r="B210">
        <v>11</v>
      </c>
      <c r="C210" t="s">
        <v>229</v>
      </c>
      <c r="D210" t="str">
        <f t="shared" si="3"/>
        <v>Nov</v>
      </c>
      <c r="E210">
        <v>4</v>
      </c>
      <c r="F210" t="s">
        <v>17</v>
      </c>
      <c r="G210" t="s">
        <v>21</v>
      </c>
      <c r="H210">
        <v>600</v>
      </c>
      <c r="I210">
        <v>789</v>
      </c>
      <c r="J210">
        <v>12941.11</v>
      </c>
      <c r="K210">
        <v>6979.11</v>
      </c>
      <c r="L210">
        <v>5962</v>
      </c>
      <c r="M210">
        <v>46.83</v>
      </c>
      <c r="N210" s="1" t="s">
        <v>238</v>
      </c>
    </row>
    <row r="211" spans="1:14" x14ac:dyDescent="0.25">
      <c r="A211">
        <v>2022</v>
      </c>
      <c r="B211">
        <v>11</v>
      </c>
      <c r="C211" t="s">
        <v>229</v>
      </c>
      <c r="D211" t="str">
        <f t="shared" si="3"/>
        <v>Nov</v>
      </c>
      <c r="E211">
        <v>4</v>
      </c>
      <c r="F211" t="s">
        <v>25</v>
      </c>
      <c r="G211" t="s">
        <v>15</v>
      </c>
      <c r="H211">
        <v>952</v>
      </c>
      <c r="I211">
        <v>1594</v>
      </c>
      <c r="J211">
        <v>12134.06</v>
      </c>
      <c r="K211">
        <v>7783.06</v>
      </c>
      <c r="L211">
        <v>4351</v>
      </c>
      <c r="M211">
        <v>38.46</v>
      </c>
      <c r="N211" s="1" t="s">
        <v>239</v>
      </c>
    </row>
    <row r="212" spans="1:14" x14ac:dyDescent="0.25">
      <c r="A212">
        <v>2022</v>
      </c>
      <c r="B212">
        <v>11</v>
      </c>
      <c r="C212" t="s">
        <v>229</v>
      </c>
      <c r="D212" t="str">
        <f t="shared" si="3"/>
        <v>Nov</v>
      </c>
      <c r="E212">
        <v>4</v>
      </c>
      <c r="F212" t="s">
        <v>28</v>
      </c>
      <c r="G212" t="s">
        <v>21</v>
      </c>
      <c r="H212">
        <v>595</v>
      </c>
      <c r="I212">
        <v>711</v>
      </c>
      <c r="J212">
        <v>9017.89</v>
      </c>
      <c r="K212">
        <v>6794.89</v>
      </c>
      <c r="L212">
        <v>2223</v>
      </c>
      <c r="M212">
        <v>23.3</v>
      </c>
      <c r="N212" s="1" t="s">
        <v>240</v>
      </c>
    </row>
    <row r="213" spans="1:14" x14ac:dyDescent="0.25">
      <c r="A213">
        <v>2022</v>
      </c>
      <c r="B213">
        <v>11</v>
      </c>
      <c r="C213" t="s">
        <v>229</v>
      </c>
      <c r="D213" t="str">
        <f t="shared" si="3"/>
        <v>Nov</v>
      </c>
      <c r="E213">
        <v>4</v>
      </c>
      <c r="F213" t="s">
        <v>25</v>
      </c>
      <c r="G213" t="s">
        <v>26</v>
      </c>
      <c r="H213">
        <v>2426</v>
      </c>
      <c r="I213">
        <v>3329</v>
      </c>
      <c r="J213">
        <v>23010.71</v>
      </c>
      <c r="K213">
        <v>15679.71</v>
      </c>
      <c r="L213">
        <v>7331</v>
      </c>
      <c r="M213">
        <v>36.14</v>
      </c>
      <c r="N213" s="1" t="s">
        <v>241</v>
      </c>
    </row>
    <row r="214" spans="1:14" x14ac:dyDescent="0.25">
      <c r="A214">
        <v>2022</v>
      </c>
      <c r="B214">
        <v>11</v>
      </c>
      <c r="C214" t="s">
        <v>229</v>
      </c>
      <c r="D214" t="str">
        <f t="shared" si="3"/>
        <v>Nov</v>
      </c>
      <c r="E214">
        <v>4</v>
      </c>
      <c r="F214" t="s">
        <v>23</v>
      </c>
      <c r="G214" t="s">
        <v>19</v>
      </c>
      <c r="H214">
        <v>6245</v>
      </c>
      <c r="I214">
        <v>7117</v>
      </c>
      <c r="J214">
        <v>144374.82999999999</v>
      </c>
      <c r="K214">
        <v>111753.83</v>
      </c>
      <c r="L214">
        <v>32621</v>
      </c>
      <c r="M214">
        <v>28.42</v>
      </c>
      <c r="N214" s="1" t="s">
        <v>242</v>
      </c>
    </row>
    <row r="215" spans="1:14" x14ac:dyDescent="0.25">
      <c r="A215">
        <v>2022</v>
      </c>
      <c r="B215">
        <v>11</v>
      </c>
      <c r="C215" t="s">
        <v>229</v>
      </c>
      <c r="D215" t="str">
        <f t="shared" si="3"/>
        <v>Nov</v>
      </c>
      <c r="E215">
        <v>4</v>
      </c>
      <c r="F215" t="s">
        <v>17</v>
      </c>
      <c r="G215" t="s">
        <v>15</v>
      </c>
      <c r="H215">
        <v>392</v>
      </c>
      <c r="I215">
        <v>625</v>
      </c>
      <c r="J215">
        <v>10768.75</v>
      </c>
      <c r="K215">
        <v>6212.75</v>
      </c>
      <c r="L215">
        <v>4556</v>
      </c>
      <c r="M215">
        <v>44.52</v>
      </c>
      <c r="N215" s="1" t="s">
        <v>243</v>
      </c>
    </row>
    <row r="216" spans="1:14" x14ac:dyDescent="0.25">
      <c r="A216">
        <v>2022</v>
      </c>
      <c r="B216">
        <v>11</v>
      </c>
      <c r="C216" t="s">
        <v>229</v>
      </c>
      <c r="D216" t="str">
        <f t="shared" si="3"/>
        <v>Nov</v>
      </c>
      <c r="E216">
        <v>4</v>
      </c>
      <c r="F216" t="s">
        <v>25</v>
      </c>
      <c r="G216" t="s">
        <v>21</v>
      </c>
      <c r="H216">
        <v>1208</v>
      </c>
      <c r="I216">
        <v>1920</v>
      </c>
      <c r="J216">
        <v>11805.8</v>
      </c>
      <c r="K216">
        <v>7426.8</v>
      </c>
      <c r="L216">
        <v>4379</v>
      </c>
      <c r="M216">
        <v>38.590000000000003</v>
      </c>
      <c r="N216" s="1" t="s">
        <v>244</v>
      </c>
    </row>
    <row r="217" spans="1:14" x14ac:dyDescent="0.25">
      <c r="A217">
        <v>2022</v>
      </c>
      <c r="B217">
        <v>11</v>
      </c>
      <c r="C217" t="s">
        <v>229</v>
      </c>
      <c r="D217" t="str">
        <f t="shared" si="3"/>
        <v>Nov</v>
      </c>
      <c r="E217">
        <v>4</v>
      </c>
      <c r="F217" t="s">
        <v>28</v>
      </c>
      <c r="G217" t="s">
        <v>26</v>
      </c>
      <c r="H217">
        <v>1114</v>
      </c>
      <c r="I217">
        <v>1341</v>
      </c>
      <c r="J217">
        <v>17553.59</v>
      </c>
      <c r="K217">
        <v>13137.59</v>
      </c>
      <c r="L217">
        <v>4416</v>
      </c>
      <c r="M217">
        <v>23.78</v>
      </c>
      <c r="N217" s="1" t="s">
        <v>245</v>
      </c>
    </row>
    <row r="218" spans="1:14" x14ac:dyDescent="0.25">
      <c r="A218">
        <v>2022</v>
      </c>
      <c r="B218">
        <v>11</v>
      </c>
      <c r="C218" t="s">
        <v>229</v>
      </c>
      <c r="D218" t="str">
        <f t="shared" si="3"/>
        <v>Nov</v>
      </c>
      <c r="E218">
        <v>4</v>
      </c>
      <c r="F218" t="s">
        <v>14</v>
      </c>
      <c r="G218" t="s">
        <v>21</v>
      </c>
      <c r="H218">
        <v>747</v>
      </c>
      <c r="I218">
        <v>841</v>
      </c>
      <c r="J218">
        <v>9864.59</v>
      </c>
      <c r="K218">
        <v>7325.59</v>
      </c>
      <c r="L218">
        <v>2539</v>
      </c>
      <c r="M218">
        <v>32.06</v>
      </c>
      <c r="N218" s="1" t="s">
        <v>246</v>
      </c>
    </row>
    <row r="219" spans="1:14" x14ac:dyDescent="0.25">
      <c r="A219">
        <v>2022</v>
      </c>
      <c r="B219">
        <v>11</v>
      </c>
      <c r="C219" t="s">
        <v>229</v>
      </c>
      <c r="D219" t="str">
        <f t="shared" si="3"/>
        <v>Nov</v>
      </c>
      <c r="E219">
        <v>4</v>
      </c>
      <c r="F219" t="s">
        <v>23</v>
      </c>
      <c r="G219" t="s">
        <v>15</v>
      </c>
      <c r="H219">
        <v>785</v>
      </c>
      <c r="I219">
        <v>910</v>
      </c>
      <c r="J219">
        <v>17726.900000000001</v>
      </c>
      <c r="K219">
        <v>13681.9</v>
      </c>
      <c r="L219">
        <v>4045</v>
      </c>
      <c r="M219">
        <v>28.01</v>
      </c>
      <c r="N219" s="1" t="s">
        <v>247</v>
      </c>
    </row>
    <row r="220" spans="1:14" x14ac:dyDescent="0.25">
      <c r="A220">
        <v>2022</v>
      </c>
      <c r="B220">
        <v>11</v>
      </c>
      <c r="C220" t="s">
        <v>229</v>
      </c>
      <c r="D220" t="str">
        <f t="shared" si="3"/>
        <v>Nov</v>
      </c>
      <c r="E220">
        <v>4</v>
      </c>
      <c r="F220" t="s">
        <v>25</v>
      </c>
      <c r="G220" t="s">
        <v>19</v>
      </c>
      <c r="H220">
        <v>6915</v>
      </c>
      <c r="I220">
        <v>10900</v>
      </c>
      <c r="J220">
        <v>71649</v>
      </c>
      <c r="K220">
        <v>45801</v>
      </c>
      <c r="L220">
        <v>25848</v>
      </c>
      <c r="M220">
        <v>38.14</v>
      </c>
      <c r="N220" s="1" t="s">
        <v>248</v>
      </c>
    </row>
    <row r="221" spans="1:14" x14ac:dyDescent="0.25">
      <c r="A221">
        <v>2022</v>
      </c>
      <c r="B221">
        <v>11</v>
      </c>
      <c r="C221" t="s">
        <v>229</v>
      </c>
      <c r="D221" t="str">
        <f t="shared" si="3"/>
        <v>Nov</v>
      </c>
      <c r="E221">
        <v>4</v>
      </c>
      <c r="F221" t="s">
        <v>23</v>
      </c>
      <c r="G221" t="s">
        <v>26</v>
      </c>
      <c r="H221">
        <v>2159</v>
      </c>
      <c r="I221">
        <v>2571</v>
      </c>
      <c r="J221">
        <v>53641.29</v>
      </c>
      <c r="K221">
        <v>41909.29</v>
      </c>
      <c r="L221">
        <v>11732</v>
      </c>
      <c r="M221">
        <v>27.22</v>
      </c>
      <c r="N221" s="1" t="s">
        <v>249</v>
      </c>
    </row>
    <row r="222" spans="1:14" x14ac:dyDescent="0.25">
      <c r="A222">
        <v>2022</v>
      </c>
      <c r="B222">
        <v>12</v>
      </c>
      <c r="C222" t="s">
        <v>250</v>
      </c>
      <c r="D222" t="str">
        <f t="shared" si="3"/>
        <v>Dec</v>
      </c>
      <c r="E222">
        <v>4</v>
      </c>
      <c r="F222" t="s">
        <v>23</v>
      </c>
      <c r="G222" t="s">
        <v>19</v>
      </c>
      <c r="H222">
        <v>5962</v>
      </c>
      <c r="I222">
        <v>7282</v>
      </c>
      <c r="J222">
        <v>159541.18</v>
      </c>
      <c r="K222">
        <v>125691.18</v>
      </c>
      <c r="L222">
        <v>33850</v>
      </c>
      <c r="M222">
        <v>26.68</v>
      </c>
      <c r="N222" s="1" t="s">
        <v>251</v>
      </c>
    </row>
    <row r="223" spans="1:14" x14ac:dyDescent="0.25">
      <c r="A223">
        <v>2022</v>
      </c>
      <c r="B223">
        <v>12</v>
      </c>
      <c r="C223" t="s">
        <v>250</v>
      </c>
      <c r="D223" t="str">
        <f t="shared" si="3"/>
        <v>Dec</v>
      </c>
      <c r="E223">
        <v>4</v>
      </c>
      <c r="F223" t="s">
        <v>14</v>
      </c>
      <c r="G223" t="s">
        <v>15</v>
      </c>
      <c r="H223">
        <v>808</v>
      </c>
      <c r="I223">
        <v>1092</v>
      </c>
      <c r="J223">
        <v>12942.08</v>
      </c>
      <c r="K223">
        <v>8807.08</v>
      </c>
      <c r="L223">
        <v>4135</v>
      </c>
      <c r="M223">
        <v>36.17</v>
      </c>
      <c r="N223" s="1" t="s">
        <v>252</v>
      </c>
    </row>
    <row r="224" spans="1:14" x14ac:dyDescent="0.25">
      <c r="A224">
        <v>2022</v>
      </c>
      <c r="B224">
        <v>12</v>
      </c>
      <c r="C224" t="s">
        <v>250</v>
      </c>
      <c r="D224" t="str">
        <f t="shared" si="3"/>
        <v>Dec</v>
      </c>
      <c r="E224">
        <v>4</v>
      </c>
      <c r="F224" t="s">
        <v>25</v>
      </c>
      <c r="G224" t="s">
        <v>21</v>
      </c>
      <c r="H224">
        <v>1762</v>
      </c>
      <c r="I224">
        <v>2850</v>
      </c>
      <c r="J224">
        <v>21762.5</v>
      </c>
      <c r="K224">
        <v>14625.5</v>
      </c>
      <c r="L224">
        <v>7137</v>
      </c>
      <c r="M224">
        <v>36.17</v>
      </c>
      <c r="N224" s="1" t="s">
        <v>253</v>
      </c>
    </row>
    <row r="225" spans="1:14" x14ac:dyDescent="0.25">
      <c r="A225">
        <v>2022</v>
      </c>
      <c r="B225">
        <v>12</v>
      </c>
      <c r="C225" t="s">
        <v>250</v>
      </c>
      <c r="D225" t="str">
        <f t="shared" si="3"/>
        <v>Dec</v>
      </c>
      <c r="E225">
        <v>4</v>
      </c>
      <c r="F225" t="s">
        <v>17</v>
      </c>
      <c r="G225" t="s">
        <v>15</v>
      </c>
      <c r="H225">
        <v>497</v>
      </c>
      <c r="I225">
        <v>819</v>
      </c>
      <c r="J225">
        <v>14443.81</v>
      </c>
      <c r="K225">
        <v>8574.81</v>
      </c>
      <c r="L225">
        <v>5869</v>
      </c>
      <c r="M225">
        <v>41.78</v>
      </c>
      <c r="N225" s="1" t="s">
        <v>254</v>
      </c>
    </row>
    <row r="226" spans="1:14" x14ac:dyDescent="0.25">
      <c r="A226">
        <v>2022</v>
      </c>
      <c r="B226">
        <v>12</v>
      </c>
      <c r="C226" t="s">
        <v>250</v>
      </c>
      <c r="D226" t="str">
        <f t="shared" si="3"/>
        <v>Dec</v>
      </c>
      <c r="E226">
        <v>4</v>
      </c>
      <c r="F226" t="s">
        <v>25</v>
      </c>
      <c r="G226" t="s">
        <v>26</v>
      </c>
      <c r="H226">
        <v>3065</v>
      </c>
      <c r="I226">
        <v>4773</v>
      </c>
      <c r="J226">
        <v>42818.27</v>
      </c>
      <c r="K226">
        <v>31330.27</v>
      </c>
      <c r="L226">
        <v>11488</v>
      </c>
      <c r="M226">
        <v>31.85</v>
      </c>
      <c r="N226" s="1" t="s">
        <v>255</v>
      </c>
    </row>
    <row r="227" spans="1:14" x14ac:dyDescent="0.25">
      <c r="A227">
        <v>2022</v>
      </c>
      <c r="B227">
        <v>12</v>
      </c>
      <c r="C227" t="s">
        <v>250</v>
      </c>
      <c r="D227" t="str">
        <f t="shared" si="3"/>
        <v>Dec</v>
      </c>
      <c r="E227">
        <v>4</v>
      </c>
      <c r="F227" t="s">
        <v>23</v>
      </c>
      <c r="G227" t="s">
        <v>21</v>
      </c>
      <c r="H227">
        <v>1379</v>
      </c>
      <c r="I227">
        <v>1608</v>
      </c>
      <c r="J227">
        <v>31055.919999999998</v>
      </c>
      <c r="K227">
        <v>23875.919999999998</v>
      </c>
      <c r="L227">
        <v>7180</v>
      </c>
      <c r="M227">
        <v>27.3</v>
      </c>
      <c r="N227" s="1" t="s">
        <v>256</v>
      </c>
    </row>
    <row r="228" spans="1:14" x14ac:dyDescent="0.25">
      <c r="A228">
        <v>2022</v>
      </c>
      <c r="B228">
        <v>12</v>
      </c>
      <c r="C228" t="s">
        <v>250</v>
      </c>
      <c r="D228" t="str">
        <f t="shared" si="3"/>
        <v>Dec</v>
      </c>
      <c r="E228">
        <v>4</v>
      </c>
      <c r="F228" t="s">
        <v>14</v>
      </c>
      <c r="G228" t="s">
        <v>19</v>
      </c>
      <c r="H228">
        <v>6736</v>
      </c>
      <c r="I228">
        <v>8909</v>
      </c>
      <c r="J228">
        <v>110938.91</v>
      </c>
      <c r="K228">
        <v>80071.91</v>
      </c>
      <c r="L228">
        <v>30867</v>
      </c>
      <c r="M228">
        <v>33.49</v>
      </c>
      <c r="N228" s="1" t="s">
        <v>257</v>
      </c>
    </row>
    <row r="229" spans="1:14" x14ac:dyDescent="0.25">
      <c r="A229">
        <v>2022</v>
      </c>
      <c r="B229">
        <v>12</v>
      </c>
      <c r="C229" t="s">
        <v>250</v>
      </c>
      <c r="D229" t="str">
        <f t="shared" si="3"/>
        <v>Dec</v>
      </c>
      <c r="E229">
        <v>4</v>
      </c>
      <c r="F229" t="s">
        <v>14</v>
      </c>
      <c r="G229" t="s">
        <v>26</v>
      </c>
      <c r="H229">
        <v>2863</v>
      </c>
      <c r="I229">
        <v>3578</v>
      </c>
      <c r="J229">
        <v>42023.22</v>
      </c>
      <c r="K229">
        <v>29314.22</v>
      </c>
      <c r="L229">
        <v>12709</v>
      </c>
      <c r="M229">
        <v>36.86</v>
      </c>
      <c r="N229" s="1" t="s">
        <v>258</v>
      </c>
    </row>
    <row r="230" spans="1:14" x14ac:dyDescent="0.25">
      <c r="A230">
        <v>2022</v>
      </c>
      <c r="B230">
        <v>12</v>
      </c>
      <c r="C230" t="s">
        <v>250</v>
      </c>
      <c r="D230" t="str">
        <f t="shared" si="3"/>
        <v>Dec</v>
      </c>
      <c r="E230">
        <v>4</v>
      </c>
      <c r="F230" t="s">
        <v>28</v>
      </c>
      <c r="G230" t="s">
        <v>26</v>
      </c>
      <c r="H230">
        <v>1568</v>
      </c>
      <c r="I230">
        <v>2033</v>
      </c>
      <c r="J230">
        <v>27111.67</v>
      </c>
      <c r="K230">
        <v>19999.669999999998</v>
      </c>
      <c r="L230">
        <v>7112</v>
      </c>
      <c r="M230">
        <v>25.1</v>
      </c>
      <c r="N230" s="1" t="s">
        <v>259</v>
      </c>
    </row>
    <row r="231" spans="1:14" x14ac:dyDescent="0.25">
      <c r="A231">
        <v>2022</v>
      </c>
      <c r="B231">
        <v>12</v>
      </c>
      <c r="C231" t="s">
        <v>250</v>
      </c>
      <c r="D231" t="str">
        <f t="shared" si="3"/>
        <v>Dec</v>
      </c>
      <c r="E231">
        <v>4</v>
      </c>
      <c r="F231" t="s">
        <v>28</v>
      </c>
      <c r="G231" t="s">
        <v>19</v>
      </c>
      <c r="H231">
        <v>4523</v>
      </c>
      <c r="I231">
        <v>5954</v>
      </c>
      <c r="J231">
        <v>77699.460000000006</v>
      </c>
      <c r="K231">
        <v>56498.46</v>
      </c>
      <c r="L231">
        <v>21201</v>
      </c>
      <c r="M231">
        <v>25.64</v>
      </c>
      <c r="N231" s="1" t="s">
        <v>260</v>
      </c>
    </row>
    <row r="232" spans="1:14" x14ac:dyDescent="0.25">
      <c r="A232">
        <v>2022</v>
      </c>
      <c r="B232">
        <v>12</v>
      </c>
      <c r="C232" t="s">
        <v>250</v>
      </c>
      <c r="D232" t="str">
        <f t="shared" si="3"/>
        <v>Dec</v>
      </c>
      <c r="E232">
        <v>4</v>
      </c>
      <c r="F232" t="s">
        <v>23</v>
      </c>
      <c r="G232" t="s">
        <v>26</v>
      </c>
      <c r="H232">
        <v>2153</v>
      </c>
      <c r="I232">
        <v>2501</v>
      </c>
      <c r="J232">
        <v>52837.99</v>
      </c>
      <c r="K232">
        <v>41380.99</v>
      </c>
      <c r="L232">
        <v>11457</v>
      </c>
      <c r="M232">
        <v>26.89</v>
      </c>
      <c r="N232" s="1" t="s">
        <v>261</v>
      </c>
    </row>
    <row r="233" spans="1:14" x14ac:dyDescent="0.25">
      <c r="A233">
        <v>2022</v>
      </c>
      <c r="B233">
        <v>12</v>
      </c>
      <c r="C233" t="s">
        <v>250</v>
      </c>
      <c r="D233" t="str">
        <f t="shared" si="3"/>
        <v>Dec</v>
      </c>
      <c r="E233">
        <v>4</v>
      </c>
      <c r="F233" t="s">
        <v>25</v>
      </c>
      <c r="G233" t="s">
        <v>19</v>
      </c>
      <c r="H233">
        <v>8419</v>
      </c>
      <c r="I233">
        <v>13522</v>
      </c>
      <c r="J233">
        <v>112805.78</v>
      </c>
      <c r="K233">
        <v>79447.78</v>
      </c>
      <c r="L233">
        <v>33358</v>
      </c>
      <c r="M233">
        <v>35.67</v>
      </c>
      <c r="N233" s="1" t="s">
        <v>262</v>
      </c>
    </row>
    <row r="234" spans="1:14" x14ac:dyDescent="0.25">
      <c r="A234">
        <v>2022</v>
      </c>
      <c r="B234">
        <v>12</v>
      </c>
      <c r="C234" t="s">
        <v>250</v>
      </c>
      <c r="D234" t="str">
        <f t="shared" si="3"/>
        <v>Dec</v>
      </c>
      <c r="E234">
        <v>4</v>
      </c>
      <c r="F234" t="s">
        <v>17</v>
      </c>
      <c r="G234" t="s">
        <v>21</v>
      </c>
      <c r="H234">
        <v>602</v>
      </c>
      <c r="I234">
        <v>747</v>
      </c>
      <c r="J234">
        <v>12349.53</v>
      </c>
      <c r="K234">
        <v>6713.53</v>
      </c>
      <c r="L234">
        <v>5636</v>
      </c>
      <c r="M234">
        <v>46.87</v>
      </c>
      <c r="N234" s="1" t="s">
        <v>263</v>
      </c>
    </row>
    <row r="235" spans="1:14" x14ac:dyDescent="0.25">
      <c r="A235">
        <v>2022</v>
      </c>
      <c r="B235">
        <v>12</v>
      </c>
      <c r="C235" t="s">
        <v>250</v>
      </c>
      <c r="D235" t="str">
        <f t="shared" si="3"/>
        <v>Dec</v>
      </c>
      <c r="E235">
        <v>4</v>
      </c>
      <c r="F235" t="s">
        <v>23</v>
      </c>
      <c r="G235" t="s">
        <v>15</v>
      </c>
      <c r="H235">
        <v>815</v>
      </c>
      <c r="I235">
        <v>1027</v>
      </c>
      <c r="J235">
        <v>21286.73</v>
      </c>
      <c r="K235">
        <v>16330.73</v>
      </c>
      <c r="L235">
        <v>4956</v>
      </c>
      <c r="M235">
        <v>29.9</v>
      </c>
      <c r="N235" s="1" t="s">
        <v>264</v>
      </c>
    </row>
    <row r="236" spans="1:14" x14ac:dyDescent="0.25">
      <c r="A236">
        <v>2022</v>
      </c>
      <c r="B236">
        <v>12</v>
      </c>
      <c r="C236" t="s">
        <v>250</v>
      </c>
      <c r="D236" t="str">
        <f t="shared" si="3"/>
        <v>Dec</v>
      </c>
      <c r="E236">
        <v>4</v>
      </c>
      <c r="F236" t="s">
        <v>28</v>
      </c>
      <c r="G236" t="s">
        <v>15</v>
      </c>
      <c r="H236">
        <v>470</v>
      </c>
      <c r="I236">
        <v>543</v>
      </c>
      <c r="J236">
        <v>7899.57</v>
      </c>
      <c r="K236">
        <v>6168.57</v>
      </c>
      <c r="L236">
        <v>1731</v>
      </c>
      <c r="M236">
        <v>20.43</v>
      </c>
      <c r="N236" s="1" t="s">
        <v>265</v>
      </c>
    </row>
    <row r="237" spans="1:14" x14ac:dyDescent="0.25">
      <c r="A237">
        <v>2022</v>
      </c>
      <c r="B237">
        <v>12</v>
      </c>
      <c r="C237" t="s">
        <v>250</v>
      </c>
      <c r="D237" t="str">
        <f t="shared" si="3"/>
        <v>Dec</v>
      </c>
      <c r="E237">
        <v>4</v>
      </c>
      <c r="F237" t="s">
        <v>17</v>
      </c>
      <c r="G237" t="s">
        <v>26</v>
      </c>
      <c r="H237">
        <v>1218</v>
      </c>
      <c r="I237">
        <v>1675</v>
      </c>
      <c r="J237">
        <v>28775.25</v>
      </c>
      <c r="K237">
        <v>16486.25</v>
      </c>
      <c r="L237">
        <v>12289</v>
      </c>
      <c r="M237">
        <v>44.26</v>
      </c>
      <c r="N237" s="1" t="s">
        <v>266</v>
      </c>
    </row>
    <row r="238" spans="1:14" x14ac:dyDescent="0.25">
      <c r="A238">
        <v>2022</v>
      </c>
      <c r="B238">
        <v>12</v>
      </c>
      <c r="C238" t="s">
        <v>250</v>
      </c>
      <c r="D238" t="str">
        <f t="shared" si="3"/>
        <v>Dec</v>
      </c>
      <c r="E238">
        <v>4</v>
      </c>
      <c r="F238" t="s">
        <v>14</v>
      </c>
      <c r="G238" t="s">
        <v>21</v>
      </c>
      <c r="H238">
        <v>1151</v>
      </c>
      <c r="I238">
        <v>1456</v>
      </c>
      <c r="J238">
        <v>16637.439999999999</v>
      </c>
      <c r="K238">
        <v>11964.44</v>
      </c>
      <c r="L238">
        <v>4673</v>
      </c>
      <c r="M238">
        <v>35.14</v>
      </c>
      <c r="N238" s="1" t="s">
        <v>267</v>
      </c>
    </row>
    <row r="239" spans="1:14" x14ac:dyDescent="0.25">
      <c r="A239">
        <v>2022</v>
      </c>
      <c r="B239">
        <v>12</v>
      </c>
      <c r="C239" t="s">
        <v>250</v>
      </c>
      <c r="D239" t="str">
        <f t="shared" si="3"/>
        <v>Dec</v>
      </c>
      <c r="E239">
        <v>4</v>
      </c>
      <c r="F239" t="s">
        <v>17</v>
      </c>
      <c r="G239" t="s">
        <v>19</v>
      </c>
      <c r="H239">
        <v>2424</v>
      </c>
      <c r="I239">
        <v>2961</v>
      </c>
      <c r="J239">
        <v>53183.39</v>
      </c>
      <c r="K239">
        <v>32217.39</v>
      </c>
      <c r="L239">
        <v>20966</v>
      </c>
      <c r="M239">
        <v>41.46</v>
      </c>
      <c r="N239" s="1" t="s">
        <v>268</v>
      </c>
    </row>
    <row r="240" spans="1:14" x14ac:dyDescent="0.25">
      <c r="A240">
        <v>2022</v>
      </c>
      <c r="B240">
        <v>12</v>
      </c>
      <c r="C240" t="s">
        <v>250</v>
      </c>
      <c r="D240" t="str">
        <f t="shared" si="3"/>
        <v>Dec</v>
      </c>
      <c r="E240">
        <v>4</v>
      </c>
      <c r="F240" t="s">
        <v>28</v>
      </c>
      <c r="G240" t="s">
        <v>21</v>
      </c>
      <c r="H240">
        <v>934</v>
      </c>
      <c r="I240">
        <v>1260</v>
      </c>
      <c r="J240">
        <v>17180.400000000001</v>
      </c>
      <c r="K240">
        <v>12356.4</v>
      </c>
      <c r="L240">
        <v>4824</v>
      </c>
      <c r="M240">
        <v>26.83</v>
      </c>
      <c r="N240" s="1" t="s">
        <v>269</v>
      </c>
    </row>
    <row r="241" spans="1:14" x14ac:dyDescent="0.25">
      <c r="A241">
        <v>2022</v>
      </c>
      <c r="B241">
        <v>12</v>
      </c>
      <c r="C241" t="s">
        <v>250</v>
      </c>
      <c r="D241" t="str">
        <f t="shared" si="3"/>
        <v>Dec</v>
      </c>
      <c r="E241">
        <v>4</v>
      </c>
      <c r="F241" t="s">
        <v>25</v>
      </c>
      <c r="G241" t="s">
        <v>15</v>
      </c>
      <c r="H241">
        <v>1031</v>
      </c>
      <c r="I241">
        <v>1441</v>
      </c>
      <c r="J241">
        <v>13910.59</v>
      </c>
      <c r="K241">
        <v>9270.59</v>
      </c>
      <c r="L241">
        <v>4640</v>
      </c>
      <c r="M241">
        <v>34.64</v>
      </c>
      <c r="N241" s="1" t="s">
        <v>270</v>
      </c>
    </row>
    <row r="242" spans="1:14" x14ac:dyDescent="0.25">
      <c r="A242">
        <v>2023</v>
      </c>
      <c r="B242">
        <v>1</v>
      </c>
      <c r="C242" t="s">
        <v>13</v>
      </c>
      <c r="D242" t="str">
        <f t="shared" si="3"/>
        <v>Jan</v>
      </c>
      <c r="E242">
        <v>1</v>
      </c>
      <c r="F242" t="s">
        <v>28</v>
      </c>
      <c r="G242" t="s">
        <v>21</v>
      </c>
      <c r="H242">
        <v>724</v>
      </c>
      <c r="I242">
        <v>819</v>
      </c>
      <c r="J242">
        <v>11253.81</v>
      </c>
      <c r="K242">
        <v>8361.81</v>
      </c>
      <c r="L242">
        <v>2892</v>
      </c>
      <c r="M242">
        <v>24.74</v>
      </c>
      <c r="N242" s="1" t="s">
        <v>271</v>
      </c>
    </row>
    <row r="243" spans="1:14" x14ac:dyDescent="0.25">
      <c r="A243">
        <v>2023</v>
      </c>
      <c r="B243">
        <v>1</v>
      </c>
      <c r="C243" t="s">
        <v>13</v>
      </c>
      <c r="D243" t="str">
        <f t="shared" si="3"/>
        <v>Jan</v>
      </c>
      <c r="E243">
        <v>1</v>
      </c>
      <c r="F243" t="s">
        <v>28</v>
      </c>
      <c r="G243" t="s">
        <v>26</v>
      </c>
      <c r="H243">
        <v>1133</v>
      </c>
      <c r="I243">
        <v>1376</v>
      </c>
      <c r="J243">
        <v>21196.240000000002</v>
      </c>
      <c r="K243">
        <v>15324.24</v>
      </c>
      <c r="L243">
        <v>5872</v>
      </c>
      <c r="M243">
        <v>26.31</v>
      </c>
      <c r="N243" s="1" t="s">
        <v>272</v>
      </c>
    </row>
    <row r="244" spans="1:14" x14ac:dyDescent="0.25">
      <c r="A244">
        <v>2023</v>
      </c>
      <c r="B244">
        <v>1</v>
      </c>
      <c r="C244" t="s">
        <v>13</v>
      </c>
      <c r="D244" t="str">
        <f t="shared" si="3"/>
        <v>Jan</v>
      </c>
      <c r="E244">
        <v>1</v>
      </c>
      <c r="F244" t="s">
        <v>14</v>
      </c>
      <c r="G244" t="s">
        <v>26</v>
      </c>
      <c r="H244">
        <v>2237</v>
      </c>
      <c r="I244">
        <v>2694</v>
      </c>
      <c r="J244">
        <v>30272.06</v>
      </c>
      <c r="K244">
        <v>20918.060000000001</v>
      </c>
      <c r="L244">
        <v>9354</v>
      </c>
      <c r="M244">
        <v>37.01</v>
      </c>
      <c r="N244" s="1" t="s">
        <v>273</v>
      </c>
    </row>
    <row r="245" spans="1:14" x14ac:dyDescent="0.25">
      <c r="A245">
        <v>2023</v>
      </c>
      <c r="B245">
        <v>1</v>
      </c>
      <c r="C245" t="s">
        <v>13</v>
      </c>
      <c r="D245" t="str">
        <f t="shared" si="3"/>
        <v>Jan</v>
      </c>
      <c r="E245">
        <v>1</v>
      </c>
      <c r="F245" t="s">
        <v>17</v>
      </c>
      <c r="G245" t="s">
        <v>26</v>
      </c>
      <c r="H245">
        <v>1196</v>
      </c>
      <c r="I245">
        <v>1721</v>
      </c>
      <c r="J245">
        <v>30208.79</v>
      </c>
      <c r="K245">
        <v>17823.79</v>
      </c>
      <c r="L245">
        <v>12385</v>
      </c>
      <c r="M245">
        <v>42.81</v>
      </c>
      <c r="N245" s="1" t="s">
        <v>274</v>
      </c>
    </row>
    <row r="246" spans="1:14" x14ac:dyDescent="0.25">
      <c r="A246">
        <v>2023</v>
      </c>
      <c r="B246">
        <v>1</v>
      </c>
      <c r="C246" t="s">
        <v>13</v>
      </c>
      <c r="D246" t="str">
        <f t="shared" si="3"/>
        <v>Jan</v>
      </c>
      <c r="E246">
        <v>1</v>
      </c>
      <c r="F246" t="s">
        <v>17</v>
      </c>
      <c r="G246" t="s">
        <v>21</v>
      </c>
      <c r="H246">
        <v>489</v>
      </c>
      <c r="I246">
        <v>600</v>
      </c>
      <c r="J246">
        <v>10221</v>
      </c>
      <c r="K246">
        <v>5792</v>
      </c>
      <c r="L246">
        <v>4429</v>
      </c>
      <c r="M246">
        <v>44.72</v>
      </c>
      <c r="N246" s="1" t="s">
        <v>275</v>
      </c>
    </row>
    <row r="247" spans="1:14" x14ac:dyDescent="0.25">
      <c r="A247">
        <v>2023</v>
      </c>
      <c r="B247">
        <v>1</v>
      </c>
      <c r="C247" t="s">
        <v>13</v>
      </c>
      <c r="D247" t="str">
        <f t="shared" si="3"/>
        <v>Jan</v>
      </c>
      <c r="E247">
        <v>1</v>
      </c>
      <c r="F247" t="s">
        <v>25</v>
      </c>
      <c r="G247" t="s">
        <v>15</v>
      </c>
      <c r="H247">
        <v>916</v>
      </c>
      <c r="I247">
        <v>1365</v>
      </c>
      <c r="J247">
        <v>13646.35</v>
      </c>
      <c r="K247">
        <v>9641.35</v>
      </c>
      <c r="L247">
        <v>4005</v>
      </c>
      <c r="M247">
        <v>33.340000000000003</v>
      </c>
      <c r="N247" s="1" t="s">
        <v>276</v>
      </c>
    </row>
    <row r="248" spans="1:14" x14ac:dyDescent="0.25">
      <c r="A248">
        <v>2023</v>
      </c>
      <c r="B248">
        <v>1</v>
      </c>
      <c r="C248" t="s">
        <v>13</v>
      </c>
      <c r="D248" t="str">
        <f t="shared" si="3"/>
        <v>Jan</v>
      </c>
      <c r="E248">
        <v>1</v>
      </c>
      <c r="F248" t="s">
        <v>25</v>
      </c>
      <c r="G248" t="s">
        <v>19</v>
      </c>
      <c r="H248">
        <v>8373</v>
      </c>
      <c r="I248">
        <v>13343</v>
      </c>
      <c r="J248">
        <v>120245.57</v>
      </c>
      <c r="K248">
        <v>89625.57</v>
      </c>
      <c r="L248">
        <v>30620</v>
      </c>
      <c r="M248">
        <v>33.04</v>
      </c>
      <c r="N248" s="1" t="s">
        <v>277</v>
      </c>
    </row>
    <row r="249" spans="1:14" x14ac:dyDescent="0.25">
      <c r="A249">
        <v>2023</v>
      </c>
      <c r="B249">
        <v>1</v>
      </c>
      <c r="C249" t="s">
        <v>13</v>
      </c>
      <c r="D249" t="str">
        <f t="shared" si="3"/>
        <v>Jan</v>
      </c>
      <c r="E249">
        <v>1</v>
      </c>
      <c r="F249" t="s">
        <v>28</v>
      </c>
      <c r="G249" t="s">
        <v>15</v>
      </c>
      <c r="H249">
        <v>406</v>
      </c>
      <c r="I249">
        <v>514</v>
      </c>
      <c r="J249">
        <v>7687.86</v>
      </c>
      <c r="K249">
        <v>5986.86</v>
      </c>
      <c r="L249">
        <v>1701</v>
      </c>
      <c r="M249">
        <v>20.7</v>
      </c>
      <c r="N249" s="1" t="s">
        <v>278</v>
      </c>
    </row>
    <row r="250" spans="1:14" x14ac:dyDescent="0.25">
      <c r="A250">
        <v>2023</v>
      </c>
      <c r="B250">
        <v>1</v>
      </c>
      <c r="C250" t="s">
        <v>13</v>
      </c>
      <c r="D250" t="str">
        <f t="shared" si="3"/>
        <v>Jan</v>
      </c>
      <c r="E250">
        <v>1</v>
      </c>
      <c r="F250" t="s">
        <v>14</v>
      </c>
      <c r="G250" t="s">
        <v>21</v>
      </c>
      <c r="H250">
        <v>1035</v>
      </c>
      <c r="I250">
        <v>1214</v>
      </c>
      <c r="J250">
        <v>14086.86</v>
      </c>
      <c r="K250">
        <v>9751.86</v>
      </c>
      <c r="L250">
        <v>4335</v>
      </c>
      <c r="M250">
        <v>36.67</v>
      </c>
      <c r="N250" s="1" t="s">
        <v>279</v>
      </c>
    </row>
    <row r="251" spans="1:14" x14ac:dyDescent="0.25">
      <c r="A251">
        <v>2023</v>
      </c>
      <c r="B251">
        <v>1</v>
      </c>
      <c r="C251" t="s">
        <v>13</v>
      </c>
      <c r="D251" t="str">
        <f t="shared" si="3"/>
        <v>Jan</v>
      </c>
      <c r="E251">
        <v>1</v>
      </c>
      <c r="F251" t="s">
        <v>23</v>
      </c>
      <c r="G251" t="s">
        <v>26</v>
      </c>
      <c r="H251">
        <v>1737</v>
      </c>
      <c r="I251">
        <v>2053</v>
      </c>
      <c r="J251">
        <v>42449.47</v>
      </c>
      <c r="K251">
        <v>33387.47</v>
      </c>
      <c r="L251">
        <v>9062</v>
      </c>
      <c r="M251">
        <v>25.67</v>
      </c>
      <c r="N251" s="1" t="s">
        <v>280</v>
      </c>
    </row>
    <row r="252" spans="1:14" x14ac:dyDescent="0.25">
      <c r="A252">
        <v>2023</v>
      </c>
      <c r="B252">
        <v>1</v>
      </c>
      <c r="C252" t="s">
        <v>13</v>
      </c>
      <c r="D252" t="str">
        <f t="shared" si="3"/>
        <v>Jan</v>
      </c>
      <c r="E252">
        <v>1</v>
      </c>
      <c r="F252" t="s">
        <v>14</v>
      </c>
      <c r="G252" t="s">
        <v>19</v>
      </c>
      <c r="H252">
        <v>5618</v>
      </c>
      <c r="I252">
        <v>6866</v>
      </c>
      <c r="J252">
        <v>82102.34</v>
      </c>
      <c r="K252">
        <v>58109.34</v>
      </c>
      <c r="L252">
        <v>23993</v>
      </c>
      <c r="M252">
        <v>34.14</v>
      </c>
      <c r="N252" s="1" t="s">
        <v>281</v>
      </c>
    </row>
    <row r="253" spans="1:14" x14ac:dyDescent="0.25">
      <c r="A253">
        <v>2023</v>
      </c>
      <c r="B253">
        <v>1</v>
      </c>
      <c r="C253" t="s">
        <v>13</v>
      </c>
      <c r="D253" t="str">
        <f t="shared" si="3"/>
        <v>Jan</v>
      </c>
      <c r="E253">
        <v>1</v>
      </c>
      <c r="F253" t="s">
        <v>25</v>
      </c>
      <c r="G253" t="s">
        <v>26</v>
      </c>
      <c r="H253">
        <v>2809</v>
      </c>
      <c r="I253">
        <v>4309</v>
      </c>
      <c r="J253">
        <v>44080.91</v>
      </c>
      <c r="K253">
        <v>33529.910000000003</v>
      </c>
      <c r="L253">
        <v>10551</v>
      </c>
      <c r="M253">
        <v>30.27</v>
      </c>
      <c r="N253" s="1" t="s">
        <v>282</v>
      </c>
    </row>
    <row r="254" spans="1:14" x14ac:dyDescent="0.25">
      <c r="A254">
        <v>2023</v>
      </c>
      <c r="B254">
        <v>1</v>
      </c>
      <c r="C254" t="s">
        <v>13</v>
      </c>
      <c r="D254" t="str">
        <f t="shared" si="3"/>
        <v>Jan</v>
      </c>
      <c r="E254">
        <v>1</v>
      </c>
      <c r="F254" t="s">
        <v>23</v>
      </c>
      <c r="G254" t="s">
        <v>21</v>
      </c>
      <c r="H254">
        <v>980</v>
      </c>
      <c r="I254">
        <v>1181</v>
      </c>
      <c r="J254">
        <v>21905.19</v>
      </c>
      <c r="K254">
        <v>17089.189999999999</v>
      </c>
      <c r="L254">
        <v>4816</v>
      </c>
      <c r="M254">
        <v>26</v>
      </c>
      <c r="N254" s="1" t="s">
        <v>283</v>
      </c>
    </row>
    <row r="255" spans="1:14" x14ac:dyDescent="0.25">
      <c r="A255">
        <v>2023</v>
      </c>
      <c r="B255">
        <v>1</v>
      </c>
      <c r="C255" t="s">
        <v>13</v>
      </c>
      <c r="D255" t="str">
        <f t="shared" si="3"/>
        <v>Jan</v>
      </c>
      <c r="E255">
        <v>1</v>
      </c>
      <c r="F255" t="s">
        <v>25</v>
      </c>
      <c r="G255" t="s">
        <v>21</v>
      </c>
      <c r="H255">
        <v>1515</v>
      </c>
      <c r="I255">
        <v>2461</v>
      </c>
      <c r="J255">
        <v>17932.39</v>
      </c>
      <c r="K255">
        <v>12410.39</v>
      </c>
      <c r="L255">
        <v>5522</v>
      </c>
      <c r="M255">
        <v>36.31</v>
      </c>
      <c r="N255" s="1" t="s">
        <v>284</v>
      </c>
    </row>
    <row r="256" spans="1:14" x14ac:dyDescent="0.25">
      <c r="A256">
        <v>2023</v>
      </c>
      <c r="B256">
        <v>1</v>
      </c>
      <c r="C256" t="s">
        <v>13</v>
      </c>
      <c r="D256" t="str">
        <f t="shared" si="3"/>
        <v>Jan</v>
      </c>
      <c r="E256">
        <v>1</v>
      </c>
      <c r="F256" t="s">
        <v>14</v>
      </c>
      <c r="G256" t="s">
        <v>15</v>
      </c>
      <c r="H256">
        <v>788</v>
      </c>
      <c r="I256">
        <v>1207</v>
      </c>
      <c r="J256">
        <v>13347.93</v>
      </c>
      <c r="K256">
        <v>9205.93</v>
      </c>
      <c r="L256">
        <v>4142</v>
      </c>
      <c r="M256">
        <v>36.840000000000003</v>
      </c>
      <c r="N256" s="1" t="s">
        <v>285</v>
      </c>
    </row>
    <row r="257" spans="1:14" x14ac:dyDescent="0.25">
      <c r="A257">
        <v>2023</v>
      </c>
      <c r="B257">
        <v>1</v>
      </c>
      <c r="C257" t="s">
        <v>13</v>
      </c>
      <c r="D257" t="str">
        <f t="shared" si="3"/>
        <v>Jan</v>
      </c>
      <c r="E257">
        <v>1</v>
      </c>
      <c r="F257" t="s">
        <v>23</v>
      </c>
      <c r="G257" t="s">
        <v>15</v>
      </c>
      <c r="H257">
        <v>790</v>
      </c>
      <c r="I257">
        <v>930</v>
      </c>
      <c r="J257">
        <v>18588.7</v>
      </c>
      <c r="K257">
        <v>14423.7</v>
      </c>
      <c r="L257">
        <v>4165</v>
      </c>
      <c r="M257">
        <v>26.1</v>
      </c>
      <c r="N257" s="1" t="s">
        <v>286</v>
      </c>
    </row>
    <row r="258" spans="1:14" x14ac:dyDescent="0.25">
      <c r="A258">
        <v>2023</v>
      </c>
      <c r="B258">
        <v>1</v>
      </c>
      <c r="C258" t="s">
        <v>13</v>
      </c>
      <c r="D258" t="str">
        <f t="shared" ref="D258:D321" si="4">LEFT(C258,3)</f>
        <v>Jan</v>
      </c>
      <c r="E258">
        <v>1</v>
      </c>
      <c r="F258" t="s">
        <v>23</v>
      </c>
      <c r="G258" t="s">
        <v>19</v>
      </c>
      <c r="H258">
        <v>5646</v>
      </c>
      <c r="I258">
        <v>6642</v>
      </c>
      <c r="J258">
        <v>136215.57999999999</v>
      </c>
      <c r="K258">
        <v>106671.58</v>
      </c>
      <c r="L258">
        <v>29544</v>
      </c>
      <c r="M258">
        <v>26.35</v>
      </c>
      <c r="N258" s="1" t="s">
        <v>287</v>
      </c>
    </row>
    <row r="259" spans="1:14" x14ac:dyDescent="0.25">
      <c r="A259">
        <v>2023</v>
      </c>
      <c r="B259">
        <v>1</v>
      </c>
      <c r="C259" t="s">
        <v>13</v>
      </c>
      <c r="D259" t="str">
        <f t="shared" si="4"/>
        <v>Jan</v>
      </c>
      <c r="E259">
        <v>1</v>
      </c>
      <c r="F259" t="s">
        <v>17</v>
      </c>
      <c r="G259" t="s">
        <v>19</v>
      </c>
      <c r="H259">
        <v>2404</v>
      </c>
      <c r="I259">
        <v>2794</v>
      </c>
      <c r="J259">
        <v>50338.06</v>
      </c>
      <c r="K259">
        <v>30618.06</v>
      </c>
      <c r="L259">
        <v>19720</v>
      </c>
      <c r="M259">
        <v>41.02</v>
      </c>
      <c r="N259" s="1" t="s">
        <v>288</v>
      </c>
    </row>
    <row r="260" spans="1:14" x14ac:dyDescent="0.25">
      <c r="A260">
        <v>2023</v>
      </c>
      <c r="B260">
        <v>1</v>
      </c>
      <c r="C260" t="s">
        <v>13</v>
      </c>
      <c r="D260" t="str">
        <f t="shared" si="4"/>
        <v>Jan</v>
      </c>
      <c r="E260">
        <v>1</v>
      </c>
      <c r="F260" t="s">
        <v>28</v>
      </c>
      <c r="G260" t="s">
        <v>19</v>
      </c>
      <c r="H260">
        <v>3098</v>
      </c>
      <c r="I260">
        <v>3685</v>
      </c>
      <c r="J260">
        <v>49410.15</v>
      </c>
      <c r="K260">
        <v>36630.15</v>
      </c>
      <c r="L260">
        <v>12780</v>
      </c>
      <c r="M260">
        <v>24.32</v>
      </c>
      <c r="N260" s="1" t="s">
        <v>289</v>
      </c>
    </row>
    <row r="261" spans="1:14" x14ac:dyDescent="0.25">
      <c r="A261">
        <v>2023</v>
      </c>
      <c r="B261">
        <v>1</v>
      </c>
      <c r="C261" t="s">
        <v>13</v>
      </c>
      <c r="D261" t="str">
        <f t="shared" si="4"/>
        <v>Jan</v>
      </c>
      <c r="E261">
        <v>1</v>
      </c>
      <c r="F261" t="s">
        <v>17</v>
      </c>
      <c r="G261" t="s">
        <v>15</v>
      </c>
      <c r="H261">
        <v>524</v>
      </c>
      <c r="I261">
        <v>704</v>
      </c>
      <c r="J261">
        <v>12006.96</v>
      </c>
      <c r="K261">
        <v>6820.96</v>
      </c>
      <c r="L261">
        <v>5186</v>
      </c>
      <c r="M261">
        <v>44.43</v>
      </c>
      <c r="N261" s="1" t="s">
        <v>290</v>
      </c>
    </row>
    <row r="262" spans="1:14" x14ac:dyDescent="0.25">
      <c r="A262">
        <v>2023</v>
      </c>
      <c r="B262">
        <v>2</v>
      </c>
      <c r="C262" t="s">
        <v>43</v>
      </c>
      <c r="D262" t="str">
        <f t="shared" si="4"/>
        <v>Feb</v>
      </c>
      <c r="E262">
        <v>1</v>
      </c>
      <c r="F262" t="s">
        <v>28</v>
      </c>
      <c r="G262" t="s">
        <v>19</v>
      </c>
      <c r="H262">
        <v>2801</v>
      </c>
      <c r="I262">
        <v>3434</v>
      </c>
      <c r="J262">
        <v>45579.66</v>
      </c>
      <c r="K262">
        <v>33721.660000000003</v>
      </c>
      <c r="L262">
        <v>11858</v>
      </c>
      <c r="M262">
        <v>24.74</v>
      </c>
      <c r="N262" s="1" t="s">
        <v>291</v>
      </c>
    </row>
    <row r="263" spans="1:14" x14ac:dyDescent="0.25">
      <c r="A263">
        <v>2023</v>
      </c>
      <c r="B263">
        <v>2</v>
      </c>
      <c r="C263" t="s">
        <v>43</v>
      </c>
      <c r="D263" t="str">
        <f t="shared" si="4"/>
        <v>Feb</v>
      </c>
      <c r="E263">
        <v>1</v>
      </c>
      <c r="F263" t="s">
        <v>28</v>
      </c>
      <c r="G263" t="s">
        <v>21</v>
      </c>
      <c r="H263">
        <v>706</v>
      </c>
      <c r="I263">
        <v>983</v>
      </c>
      <c r="J263">
        <v>14056.17</v>
      </c>
      <c r="K263">
        <v>10520.17</v>
      </c>
      <c r="L263">
        <v>3536</v>
      </c>
      <c r="M263">
        <v>24.6</v>
      </c>
      <c r="N263" s="1" t="s">
        <v>292</v>
      </c>
    </row>
    <row r="264" spans="1:14" x14ac:dyDescent="0.25">
      <c r="A264">
        <v>2023</v>
      </c>
      <c r="B264">
        <v>2</v>
      </c>
      <c r="C264" t="s">
        <v>43</v>
      </c>
      <c r="D264" t="str">
        <f t="shared" si="4"/>
        <v>Feb</v>
      </c>
      <c r="E264">
        <v>1</v>
      </c>
      <c r="F264" t="s">
        <v>23</v>
      </c>
      <c r="G264" t="s">
        <v>26</v>
      </c>
      <c r="H264">
        <v>2156</v>
      </c>
      <c r="I264">
        <v>2519</v>
      </c>
      <c r="J264">
        <v>48671.81</v>
      </c>
      <c r="K264">
        <v>38714.81</v>
      </c>
      <c r="L264">
        <v>9957</v>
      </c>
      <c r="M264">
        <v>24.15</v>
      </c>
      <c r="N264" s="1" t="s">
        <v>293</v>
      </c>
    </row>
    <row r="265" spans="1:14" x14ac:dyDescent="0.25">
      <c r="A265">
        <v>2023</v>
      </c>
      <c r="B265">
        <v>2</v>
      </c>
      <c r="C265" t="s">
        <v>43</v>
      </c>
      <c r="D265" t="str">
        <f t="shared" si="4"/>
        <v>Feb</v>
      </c>
      <c r="E265">
        <v>1</v>
      </c>
      <c r="F265" t="s">
        <v>17</v>
      </c>
      <c r="G265" t="s">
        <v>26</v>
      </c>
      <c r="H265">
        <v>1191</v>
      </c>
      <c r="I265">
        <v>1550</v>
      </c>
      <c r="J265">
        <v>27864.5</v>
      </c>
      <c r="K265">
        <v>16918.5</v>
      </c>
      <c r="L265">
        <v>10946</v>
      </c>
      <c r="M265">
        <v>41.95</v>
      </c>
      <c r="N265" s="1" t="s">
        <v>294</v>
      </c>
    </row>
    <row r="266" spans="1:14" x14ac:dyDescent="0.25">
      <c r="A266">
        <v>2023</v>
      </c>
      <c r="B266">
        <v>2</v>
      </c>
      <c r="C266" t="s">
        <v>43</v>
      </c>
      <c r="D266" t="str">
        <f t="shared" si="4"/>
        <v>Feb</v>
      </c>
      <c r="E266">
        <v>1</v>
      </c>
      <c r="F266" t="s">
        <v>28</v>
      </c>
      <c r="G266" t="s">
        <v>15</v>
      </c>
      <c r="H266">
        <v>401</v>
      </c>
      <c r="I266">
        <v>487</v>
      </c>
      <c r="J266">
        <v>7578.13</v>
      </c>
      <c r="K266">
        <v>5845.13</v>
      </c>
      <c r="L266">
        <v>1733</v>
      </c>
      <c r="M266">
        <v>21.84</v>
      </c>
      <c r="N266" s="1" t="s">
        <v>295</v>
      </c>
    </row>
    <row r="267" spans="1:14" x14ac:dyDescent="0.25">
      <c r="A267">
        <v>2023</v>
      </c>
      <c r="B267">
        <v>2</v>
      </c>
      <c r="C267" t="s">
        <v>43</v>
      </c>
      <c r="D267" t="str">
        <f t="shared" si="4"/>
        <v>Feb</v>
      </c>
      <c r="E267">
        <v>1</v>
      </c>
      <c r="F267" t="s">
        <v>17</v>
      </c>
      <c r="G267" t="s">
        <v>19</v>
      </c>
      <c r="H267">
        <v>2254</v>
      </c>
      <c r="I267">
        <v>2899</v>
      </c>
      <c r="J267">
        <v>52025.01</v>
      </c>
      <c r="K267">
        <v>31462.01</v>
      </c>
      <c r="L267">
        <v>20563</v>
      </c>
      <c r="M267">
        <v>41.66</v>
      </c>
      <c r="N267" s="1" t="s">
        <v>296</v>
      </c>
    </row>
    <row r="268" spans="1:14" x14ac:dyDescent="0.25">
      <c r="A268">
        <v>2023</v>
      </c>
      <c r="B268">
        <v>2</v>
      </c>
      <c r="C268" t="s">
        <v>43</v>
      </c>
      <c r="D268" t="str">
        <f t="shared" si="4"/>
        <v>Feb</v>
      </c>
      <c r="E268">
        <v>1</v>
      </c>
      <c r="F268" t="s">
        <v>25</v>
      </c>
      <c r="G268" t="s">
        <v>21</v>
      </c>
      <c r="H268">
        <v>1506</v>
      </c>
      <c r="I268">
        <v>2236</v>
      </c>
      <c r="J268">
        <v>18509.64</v>
      </c>
      <c r="K268">
        <v>12818.64</v>
      </c>
      <c r="L268">
        <v>5691</v>
      </c>
      <c r="M268">
        <v>36.340000000000003</v>
      </c>
      <c r="N268" s="1" t="s">
        <v>297</v>
      </c>
    </row>
    <row r="269" spans="1:14" x14ac:dyDescent="0.25">
      <c r="A269">
        <v>2023</v>
      </c>
      <c r="B269">
        <v>2</v>
      </c>
      <c r="C269" t="s">
        <v>43</v>
      </c>
      <c r="D269" t="str">
        <f t="shared" si="4"/>
        <v>Feb</v>
      </c>
      <c r="E269">
        <v>1</v>
      </c>
      <c r="F269" t="s">
        <v>25</v>
      </c>
      <c r="G269" t="s">
        <v>15</v>
      </c>
      <c r="H269">
        <v>854</v>
      </c>
      <c r="I269">
        <v>1444</v>
      </c>
      <c r="J269">
        <v>14291.56</v>
      </c>
      <c r="K269">
        <v>9785.56</v>
      </c>
      <c r="L269">
        <v>4506</v>
      </c>
      <c r="M269">
        <v>36.35</v>
      </c>
      <c r="N269" s="1" t="s">
        <v>298</v>
      </c>
    </row>
    <row r="270" spans="1:14" x14ac:dyDescent="0.25">
      <c r="A270">
        <v>2023</v>
      </c>
      <c r="B270">
        <v>2</v>
      </c>
      <c r="C270" t="s">
        <v>43</v>
      </c>
      <c r="D270" t="str">
        <f t="shared" si="4"/>
        <v>Feb</v>
      </c>
      <c r="E270">
        <v>1</v>
      </c>
      <c r="F270" t="s">
        <v>28</v>
      </c>
      <c r="G270" t="s">
        <v>26</v>
      </c>
      <c r="H270">
        <v>1130</v>
      </c>
      <c r="I270">
        <v>1284</v>
      </c>
      <c r="J270">
        <v>18634.16</v>
      </c>
      <c r="K270">
        <v>13912.16</v>
      </c>
      <c r="L270">
        <v>4722</v>
      </c>
      <c r="M270">
        <v>24.21</v>
      </c>
      <c r="N270" s="1" t="s">
        <v>299</v>
      </c>
    </row>
    <row r="271" spans="1:14" x14ac:dyDescent="0.25">
      <c r="A271">
        <v>2023</v>
      </c>
      <c r="B271">
        <v>2</v>
      </c>
      <c r="C271" t="s">
        <v>43</v>
      </c>
      <c r="D271" t="str">
        <f t="shared" si="4"/>
        <v>Feb</v>
      </c>
      <c r="E271">
        <v>1</v>
      </c>
      <c r="F271" t="s">
        <v>23</v>
      </c>
      <c r="G271" t="s">
        <v>21</v>
      </c>
      <c r="H271">
        <v>1104</v>
      </c>
      <c r="I271">
        <v>1229</v>
      </c>
      <c r="J271">
        <v>23963.71</v>
      </c>
      <c r="K271">
        <v>19469.71</v>
      </c>
      <c r="L271">
        <v>4494</v>
      </c>
      <c r="M271">
        <v>22.18</v>
      </c>
      <c r="N271" s="1" t="s">
        <v>300</v>
      </c>
    </row>
    <row r="272" spans="1:14" x14ac:dyDescent="0.25">
      <c r="A272">
        <v>2023</v>
      </c>
      <c r="B272">
        <v>2</v>
      </c>
      <c r="C272" t="s">
        <v>43</v>
      </c>
      <c r="D272" t="str">
        <f t="shared" si="4"/>
        <v>Feb</v>
      </c>
      <c r="E272">
        <v>1</v>
      </c>
      <c r="F272" t="s">
        <v>14</v>
      </c>
      <c r="G272" t="s">
        <v>26</v>
      </c>
      <c r="H272">
        <v>1527</v>
      </c>
      <c r="I272">
        <v>2148</v>
      </c>
      <c r="J272">
        <v>26882.52</v>
      </c>
      <c r="K272">
        <v>20416.52</v>
      </c>
      <c r="L272">
        <v>6466</v>
      </c>
      <c r="M272">
        <v>32.83</v>
      </c>
      <c r="N272" s="1" t="s">
        <v>301</v>
      </c>
    </row>
    <row r="273" spans="1:14" x14ac:dyDescent="0.25">
      <c r="A273">
        <v>2023</v>
      </c>
      <c r="B273">
        <v>2</v>
      </c>
      <c r="C273" t="s">
        <v>43</v>
      </c>
      <c r="D273" t="str">
        <f t="shared" si="4"/>
        <v>Feb</v>
      </c>
      <c r="E273">
        <v>1</v>
      </c>
      <c r="F273" t="s">
        <v>25</v>
      </c>
      <c r="G273" t="s">
        <v>19</v>
      </c>
      <c r="H273">
        <v>8360</v>
      </c>
      <c r="I273">
        <v>13308</v>
      </c>
      <c r="J273">
        <v>113815.92</v>
      </c>
      <c r="K273">
        <v>83841.919999999998</v>
      </c>
      <c r="L273">
        <v>29974</v>
      </c>
      <c r="M273">
        <v>33.78</v>
      </c>
      <c r="N273" s="1" t="s">
        <v>302</v>
      </c>
    </row>
    <row r="274" spans="1:14" x14ac:dyDescent="0.25">
      <c r="A274">
        <v>2023</v>
      </c>
      <c r="B274">
        <v>2</v>
      </c>
      <c r="C274" t="s">
        <v>43</v>
      </c>
      <c r="D274" t="str">
        <f t="shared" si="4"/>
        <v>Feb</v>
      </c>
      <c r="E274">
        <v>1</v>
      </c>
      <c r="F274" t="s">
        <v>14</v>
      </c>
      <c r="G274" t="s">
        <v>19</v>
      </c>
      <c r="H274">
        <v>4593</v>
      </c>
      <c r="I274">
        <v>6248</v>
      </c>
      <c r="J274">
        <v>77814.52</v>
      </c>
      <c r="K274">
        <v>56723.519999999997</v>
      </c>
      <c r="L274">
        <v>21091</v>
      </c>
      <c r="M274">
        <v>33.46</v>
      </c>
      <c r="N274" s="1" t="s">
        <v>303</v>
      </c>
    </row>
    <row r="275" spans="1:14" x14ac:dyDescent="0.25">
      <c r="A275">
        <v>2023</v>
      </c>
      <c r="B275">
        <v>2</v>
      </c>
      <c r="C275" t="s">
        <v>43</v>
      </c>
      <c r="D275" t="str">
        <f t="shared" si="4"/>
        <v>Feb</v>
      </c>
      <c r="E275">
        <v>1</v>
      </c>
      <c r="F275" t="s">
        <v>14</v>
      </c>
      <c r="G275" t="s">
        <v>21</v>
      </c>
      <c r="H275">
        <v>979</v>
      </c>
      <c r="I275">
        <v>1181</v>
      </c>
      <c r="J275">
        <v>12647.19</v>
      </c>
      <c r="K275">
        <v>8402.19</v>
      </c>
      <c r="L275">
        <v>4245</v>
      </c>
      <c r="M275">
        <v>39.18</v>
      </c>
      <c r="N275" s="1" t="s">
        <v>304</v>
      </c>
    </row>
    <row r="276" spans="1:14" x14ac:dyDescent="0.25">
      <c r="A276">
        <v>2023</v>
      </c>
      <c r="B276">
        <v>2</v>
      </c>
      <c r="C276" t="s">
        <v>43</v>
      </c>
      <c r="D276" t="str">
        <f t="shared" si="4"/>
        <v>Feb</v>
      </c>
      <c r="E276">
        <v>1</v>
      </c>
      <c r="F276" t="s">
        <v>25</v>
      </c>
      <c r="G276" t="s">
        <v>26</v>
      </c>
      <c r="H276">
        <v>2756</v>
      </c>
      <c r="I276">
        <v>3802</v>
      </c>
      <c r="J276">
        <v>41095.980000000003</v>
      </c>
      <c r="K276">
        <v>31770.98</v>
      </c>
      <c r="L276">
        <v>9325</v>
      </c>
      <c r="M276">
        <v>30.1</v>
      </c>
      <c r="N276" s="1" t="s">
        <v>305</v>
      </c>
    </row>
    <row r="277" spans="1:14" x14ac:dyDescent="0.25">
      <c r="A277">
        <v>2023</v>
      </c>
      <c r="B277">
        <v>2</v>
      </c>
      <c r="C277" t="s">
        <v>43</v>
      </c>
      <c r="D277" t="str">
        <f t="shared" si="4"/>
        <v>Feb</v>
      </c>
      <c r="E277">
        <v>1</v>
      </c>
      <c r="F277" t="s">
        <v>17</v>
      </c>
      <c r="G277" t="s">
        <v>21</v>
      </c>
      <c r="H277">
        <v>552</v>
      </c>
      <c r="I277">
        <v>614</v>
      </c>
      <c r="J277">
        <v>10571.86</v>
      </c>
      <c r="K277">
        <v>6095.86</v>
      </c>
      <c r="L277">
        <v>4476</v>
      </c>
      <c r="M277">
        <v>43.74</v>
      </c>
      <c r="N277" s="1" t="s">
        <v>306</v>
      </c>
    </row>
    <row r="278" spans="1:14" x14ac:dyDescent="0.25">
      <c r="A278">
        <v>2023</v>
      </c>
      <c r="B278">
        <v>2</v>
      </c>
      <c r="C278" t="s">
        <v>43</v>
      </c>
      <c r="D278" t="str">
        <f t="shared" si="4"/>
        <v>Feb</v>
      </c>
      <c r="E278">
        <v>1</v>
      </c>
      <c r="F278" t="s">
        <v>14</v>
      </c>
      <c r="G278" t="s">
        <v>15</v>
      </c>
      <c r="H278">
        <v>848</v>
      </c>
      <c r="I278">
        <v>1120</v>
      </c>
      <c r="J278">
        <v>14400.8</v>
      </c>
      <c r="K278">
        <v>10444.799999999999</v>
      </c>
      <c r="L278">
        <v>3956</v>
      </c>
      <c r="M278">
        <v>33.409999999999997</v>
      </c>
      <c r="N278" s="1" t="s">
        <v>307</v>
      </c>
    </row>
    <row r="279" spans="1:14" x14ac:dyDescent="0.25">
      <c r="A279">
        <v>2023</v>
      </c>
      <c r="B279">
        <v>2</v>
      </c>
      <c r="C279" t="s">
        <v>43</v>
      </c>
      <c r="D279" t="str">
        <f t="shared" si="4"/>
        <v>Feb</v>
      </c>
      <c r="E279">
        <v>1</v>
      </c>
      <c r="F279" t="s">
        <v>23</v>
      </c>
      <c r="G279" t="s">
        <v>19</v>
      </c>
      <c r="H279">
        <v>5678</v>
      </c>
      <c r="I279">
        <v>6778</v>
      </c>
      <c r="J279">
        <v>133007.22</v>
      </c>
      <c r="K279">
        <v>107394.22</v>
      </c>
      <c r="L279">
        <v>25613</v>
      </c>
      <c r="M279">
        <v>23.07</v>
      </c>
      <c r="N279" s="1" t="s">
        <v>308</v>
      </c>
    </row>
    <row r="280" spans="1:14" x14ac:dyDescent="0.25">
      <c r="A280">
        <v>2023</v>
      </c>
      <c r="B280">
        <v>2</v>
      </c>
      <c r="C280" t="s">
        <v>43</v>
      </c>
      <c r="D280" t="str">
        <f t="shared" si="4"/>
        <v>Feb</v>
      </c>
      <c r="E280">
        <v>1</v>
      </c>
      <c r="F280" t="s">
        <v>23</v>
      </c>
      <c r="G280" t="s">
        <v>15</v>
      </c>
      <c r="H280">
        <v>652</v>
      </c>
      <c r="I280">
        <v>849</v>
      </c>
      <c r="J280">
        <v>12683.51</v>
      </c>
      <c r="K280">
        <v>9782.51</v>
      </c>
      <c r="L280">
        <v>2901</v>
      </c>
      <c r="M280">
        <v>25.62</v>
      </c>
      <c r="N280" s="1" t="s">
        <v>309</v>
      </c>
    </row>
    <row r="281" spans="1:14" x14ac:dyDescent="0.25">
      <c r="A281">
        <v>2023</v>
      </c>
      <c r="B281">
        <v>2</v>
      </c>
      <c r="C281" t="s">
        <v>43</v>
      </c>
      <c r="D281" t="str">
        <f t="shared" si="4"/>
        <v>Feb</v>
      </c>
      <c r="E281">
        <v>1</v>
      </c>
      <c r="F281" t="s">
        <v>17</v>
      </c>
      <c r="G281" t="s">
        <v>15</v>
      </c>
      <c r="H281">
        <v>385</v>
      </c>
      <c r="I281">
        <v>468</v>
      </c>
      <c r="J281">
        <v>8538.32</v>
      </c>
      <c r="K281">
        <v>5277.32</v>
      </c>
      <c r="L281">
        <v>3261</v>
      </c>
      <c r="M281">
        <v>40.49</v>
      </c>
      <c r="N281" s="1" t="s">
        <v>310</v>
      </c>
    </row>
    <row r="282" spans="1:14" x14ac:dyDescent="0.25">
      <c r="A282">
        <v>2023</v>
      </c>
      <c r="B282">
        <v>3</v>
      </c>
      <c r="C282" t="s">
        <v>64</v>
      </c>
      <c r="D282" t="str">
        <f t="shared" si="4"/>
        <v>Mar</v>
      </c>
      <c r="E282">
        <v>1</v>
      </c>
      <c r="F282" t="s">
        <v>28</v>
      </c>
      <c r="G282" t="s">
        <v>19</v>
      </c>
      <c r="H282">
        <v>4554</v>
      </c>
      <c r="I282">
        <v>5565</v>
      </c>
      <c r="J282">
        <v>75042.350000000006</v>
      </c>
      <c r="K282">
        <v>56844.35</v>
      </c>
      <c r="L282">
        <v>18198</v>
      </c>
      <c r="M282">
        <v>23.51</v>
      </c>
      <c r="N282" s="1" t="s">
        <v>311</v>
      </c>
    </row>
    <row r="283" spans="1:14" x14ac:dyDescent="0.25">
      <c r="A283">
        <v>2023</v>
      </c>
      <c r="B283">
        <v>3</v>
      </c>
      <c r="C283" t="s">
        <v>64</v>
      </c>
      <c r="D283" t="str">
        <f t="shared" si="4"/>
        <v>Mar</v>
      </c>
      <c r="E283">
        <v>1</v>
      </c>
      <c r="F283" t="s">
        <v>28</v>
      </c>
      <c r="G283" t="s">
        <v>21</v>
      </c>
      <c r="H283">
        <v>1097</v>
      </c>
      <c r="I283">
        <v>1509</v>
      </c>
      <c r="J283">
        <v>21324.91</v>
      </c>
      <c r="K283">
        <v>16154.91</v>
      </c>
      <c r="L283">
        <v>5170</v>
      </c>
      <c r="M283">
        <v>22.97</v>
      </c>
      <c r="N283" s="1" t="s">
        <v>312</v>
      </c>
    </row>
    <row r="284" spans="1:14" x14ac:dyDescent="0.25">
      <c r="A284">
        <v>2023</v>
      </c>
      <c r="B284">
        <v>3</v>
      </c>
      <c r="C284" t="s">
        <v>64</v>
      </c>
      <c r="D284" t="str">
        <f t="shared" si="4"/>
        <v>Mar</v>
      </c>
      <c r="E284">
        <v>1</v>
      </c>
      <c r="F284" t="s">
        <v>28</v>
      </c>
      <c r="G284" t="s">
        <v>15</v>
      </c>
      <c r="H284">
        <v>713</v>
      </c>
      <c r="I284">
        <v>932</v>
      </c>
      <c r="J284">
        <v>13932.68</v>
      </c>
      <c r="K284">
        <v>10581.68</v>
      </c>
      <c r="L284">
        <v>3351</v>
      </c>
      <c r="M284">
        <v>22.76</v>
      </c>
      <c r="N284" s="1" t="s">
        <v>313</v>
      </c>
    </row>
    <row r="285" spans="1:14" x14ac:dyDescent="0.25">
      <c r="A285">
        <v>2023</v>
      </c>
      <c r="B285">
        <v>3</v>
      </c>
      <c r="C285" t="s">
        <v>64</v>
      </c>
      <c r="D285" t="str">
        <f t="shared" si="4"/>
        <v>Mar</v>
      </c>
      <c r="E285">
        <v>1</v>
      </c>
      <c r="F285" t="s">
        <v>23</v>
      </c>
      <c r="G285" t="s">
        <v>26</v>
      </c>
      <c r="H285">
        <v>2881</v>
      </c>
      <c r="I285">
        <v>3445</v>
      </c>
      <c r="J285">
        <v>64490.55</v>
      </c>
      <c r="K285">
        <v>51783.55</v>
      </c>
      <c r="L285">
        <v>12707</v>
      </c>
      <c r="M285">
        <v>23.01</v>
      </c>
      <c r="N285" s="1" t="s">
        <v>314</v>
      </c>
    </row>
    <row r="286" spans="1:14" x14ac:dyDescent="0.25">
      <c r="A286">
        <v>2023</v>
      </c>
      <c r="B286">
        <v>3</v>
      </c>
      <c r="C286" t="s">
        <v>64</v>
      </c>
      <c r="D286" t="str">
        <f t="shared" si="4"/>
        <v>Mar</v>
      </c>
      <c r="E286">
        <v>1</v>
      </c>
      <c r="F286" t="s">
        <v>14</v>
      </c>
      <c r="G286" t="s">
        <v>26</v>
      </c>
      <c r="H286">
        <v>1973</v>
      </c>
      <c r="I286">
        <v>2418</v>
      </c>
      <c r="J286">
        <v>28385.82</v>
      </c>
      <c r="K286">
        <v>20703.82</v>
      </c>
      <c r="L286">
        <v>7682</v>
      </c>
      <c r="M286">
        <v>34.159999999999997</v>
      </c>
      <c r="N286" s="1" t="s">
        <v>315</v>
      </c>
    </row>
    <row r="287" spans="1:14" x14ac:dyDescent="0.25">
      <c r="A287">
        <v>2023</v>
      </c>
      <c r="B287">
        <v>3</v>
      </c>
      <c r="C287" t="s">
        <v>64</v>
      </c>
      <c r="D287" t="str">
        <f t="shared" si="4"/>
        <v>Mar</v>
      </c>
      <c r="E287">
        <v>1</v>
      </c>
      <c r="F287" t="s">
        <v>14</v>
      </c>
      <c r="G287" t="s">
        <v>21</v>
      </c>
      <c r="H287">
        <v>1072</v>
      </c>
      <c r="I287">
        <v>1345</v>
      </c>
      <c r="J287">
        <v>15613.55</v>
      </c>
      <c r="K287">
        <v>11058.55</v>
      </c>
      <c r="L287">
        <v>4555</v>
      </c>
      <c r="M287">
        <v>36.049999999999997</v>
      </c>
      <c r="N287" s="1" t="s">
        <v>316</v>
      </c>
    </row>
    <row r="288" spans="1:14" x14ac:dyDescent="0.25">
      <c r="A288">
        <v>2023</v>
      </c>
      <c r="B288">
        <v>3</v>
      </c>
      <c r="C288" t="s">
        <v>64</v>
      </c>
      <c r="D288" t="str">
        <f t="shared" si="4"/>
        <v>Mar</v>
      </c>
      <c r="E288">
        <v>1</v>
      </c>
      <c r="F288" t="s">
        <v>17</v>
      </c>
      <c r="G288" t="s">
        <v>26</v>
      </c>
      <c r="H288">
        <v>1247</v>
      </c>
      <c r="I288">
        <v>1739</v>
      </c>
      <c r="J288">
        <v>30289.61</v>
      </c>
      <c r="K288">
        <v>17675.61</v>
      </c>
      <c r="L288">
        <v>12614</v>
      </c>
      <c r="M288">
        <v>43.06</v>
      </c>
      <c r="N288" s="1" t="s">
        <v>317</v>
      </c>
    </row>
    <row r="289" spans="1:14" x14ac:dyDescent="0.25">
      <c r="A289">
        <v>2023</v>
      </c>
      <c r="B289">
        <v>3</v>
      </c>
      <c r="C289" t="s">
        <v>64</v>
      </c>
      <c r="D289" t="str">
        <f t="shared" si="4"/>
        <v>Mar</v>
      </c>
      <c r="E289">
        <v>1</v>
      </c>
      <c r="F289" t="s">
        <v>17</v>
      </c>
      <c r="G289" t="s">
        <v>21</v>
      </c>
      <c r="H289">
        <v>482</v>
      </c>
      <c r="I289">
        <v>521</v>
      </c>
      <c r="J289">
        <v>9267.7900000000009</v>
      </c>
      <c r="K289">
        <v>5545.79</v>
      </c>
      <c r="L289">
        <v>3722</v>
      </c>
      <c r="M289">
        <v>42.27</v>
      </c>
      <c r="N289" s="1" t="s">
        <v>318</v>
      </c>
    </row>
    <row r="290" spans="1:14" x14ac:dyDescent="0.25">
      <c r="A290">
        <v>2023</v>
      </c>
      <c r="B290">
        <v>3</v>
      </c>
      <c r="C290" t="s">
        <v>64</v>
      </c>
      <c r="D290" t="str">
        <f t="shared" si="4"/>
        <v>Mar</v>
      </c>
      <c r="E290">
        <v>1</v>
      </c>
      <c r="F290" t="s">
        <v>25</v>
      </c>
      <c r="G290" t="s">
        <v>21</v>
      </c>
      <c r="H290">
        <v>1971</v>
      </c>
      <c r="I290">
        <v>3418</v>
      </c>
      <c r="J290">
        <v>23193.82</v>
      </c>
      <c r="K290">
        <v>15405.82</v>
      </c>
      <c r="L290">
        <v>7788</v>
      </c>
      <c r="M290">
        <v>37.53</v>
      </c>
      <c r="N290" s="1" t="s">
        <v>319</v>
      </c>
    </row>
    <row r="291" spans="1:14" x14ac:dyDescent="0.25">
      <c r="A291">
        <v>2023</v>
      </c>
      <c r="B291">
        <v>3</v>
      </c>
      <c r="C291" t="s">
        <v>64</v>
      </c>
      <c r="D291" t="str">
        <f t="shared" si="4"/>
        <v>Mar</v>
      </c>
      <c r="E291">
        <v>1</v>
      </c>
      <c r="F291" t="s">
        <v>25</v>
      </c>
      <c r="G291" t="s">
        <v>19</v>
      </c>
      <c r="H291">
        <v>9464</v>
      </c>
      <c r="I291">
        <v>15214</v>
      </c>
      <c r="J291">
        <v>123698.86</v>
      </c>
      <c r="K291">
        <v>90127.86</v>
      </c>
      <c r="L291">
        <v>33571</v>
      </c>
      <c r="M291">
        <v>33.86</v>
      </c>
      <c r="N291" s="1" t="s">
        <v>320</v>
      </c>
    </row>
    <row r="292" spans="1:14" x14ac:dyDescent="0.25">
      <c r="A292">
        <v>2023</v>
      </c>
      <c r="B292">
        <v>3</v>
      </c>
      <c r="C292" t="s">
        <v>64</v>
      </c>
      <c r="D292" t="str">
        <f t="shared" si="4"/>
        <v>Mar</v>
      </c>
      <c r="E292">
        <v>1</v>
      </c>
      <c r="F292" t="s">
        <v>25</v>
      </c>
      <c r="G292" t="s">
        <v>15</v>
      </c>
      <c r="H292">
        <v>1070</v>
      </c>
      <c r="I292">
        <v>1817</v>
      </c>
      <c r="J292">
        <v>13392.83</v>
      </c>
      <c r="K292">
        <v>9415.83</v>
      </c>
      <c r="L292">
        <v>3977</v>
      </c>
      <c r="M292">
        <v>33.43</v>
      </c>
      <c r="N292" s="1" t="s">
        <v>321</v>
      </c>
    </row>
    <row r="293" spans="1:14" x14ac:dyDescent="0.25">
      <c r="A293">
        <v>2023</v>
      </c>
      <c r="B293">
        <v>3</v>
      </c>
      <c r="C293" t="s">
        <v>64</v>
      </c>
      <c r="D293" t="str">
        <f t="shared" si="4"/>
        <v>Mar</v>
      </c>
      <c r="E293">
        <v>1</v>
      </c>
      <c r="F293" t="s">
        <v>25</v>
      </c>
      <c r="G293" t="s">
        <v>26</v>
      </c>
      <c r="H293">
        <v>3246</v>
      </c>
      <c r="I293">
        <v>5138</v>
      </c>
      <c r="J293">
        <v>45562.62</v>
      </c>
      <c r="K293">
        <v>34834.620000000003</v>
      </c>
      <c r="L293">
        <v>10728</v>
      </c>
      <c r="M293">
        <v>32.11</v>
      </c>
      <c r="N293" s="1" t="s">
        <v>322</v>
      </c>
    </row>
    <row r="294" spans="1:14" x14ac:dyDescent="0.25">
      <c r="A294">
        <v>2023</v>
      </c>
      <c r="B294">
        <v>3</v>
      </c>
      <c r="C294" t="s">
        <v>64</v>
      </c>
      <c r="D294" t="str">
        <f t="shared" si="4"/>
        <v>Mar</v>
      </c>
      <c r="E294">
        <v>1</v>
      </c>
      <c r="F294" t="s">
        <v>23</v>
      </c>
      <c r="G294" t="s">
        <v>21</v>
      </c>
      <c r="H294">
        <v>1634</v>
      </c>
      <c r="I294">
        <v>2261</v>
      </c>
      <c r="J294">
        <v>46990.39</v>
      </c>
      <c r="K294">
        <v>38577.39</v>
      </c>
      <c r="L294">
        <v>8413</v>
      </c>
      <c r="M294">
        <v>23.11</v>
      </c>
      <c r="N294" s="1" t="s">
        <v>323</v>
      </c>
    </row>
    <row r="295" spans="1:14" x14ac:dyDescent="0.25">
      <c r="A295">
        <v>2023</v>
      </c>
      <c r="B295">
        <v>3</v>
      </c>
      <c r="C295" t="s">
        <v>64</v>
      </c>
      <c r="D295" t="str">
        <f t="shared" si="4"/>
        <v>Mar</v>
      </c>
      <c r="E295">
        <v>1</v>
      </c>
      <c r="F295" t="s">
        <v>23</v>
      </c>
      <c r="G295" t="s">
        <v>19</v>
      </c>
      <c r="H295">
        <v>7323</v>
      </c>
      <c r="I295">
        <v>9354</v>
      </c>
      <c r="J295">
        <v>171494.46</v>
      </c>
      <c r="K295">
        <v>136646.46</v>
      </c>
      <c r="L295">
        <v>34848</v>
      </c>
      <c r="M295">
        <v>23.34</v>
      </c>
      <c r="N295" s="1" t="s">
        <v>324</v>
      </c>
    </row>
    <row r="296" spans="1:14" x14ac:dyDescent="0.25">
      <c r="A296">
        <v>2023</v>
      </c>
      <c r="B296">
        <v>3</v>
      </c>
      <c r="C296" t="s">
        <v>64</v>
      </c>
      <c r="D296" t="str">
        <f t="shared" si="4"/>
        <v>Mar</v>
      </c>
      <c r="E296">
        <v>1</v>
      </c>
      <c r="F296" t="s">
        <v>17</v>
      </c>
      <c r="G296" t="s">
        <v>15</v>
      </c>
      <c r="H296">
        <v>410</v>
      </c>
      <c r="I296">
        <v>552</v>
      </c>
      <c r="J296">
        <v>9831.48</v>
      </c>
      <c r="K296">
        <v>5932.48</v>
      </c>
      <c r="L296">
        <v>3899</v>
      </c>
      <c r="M296">
        <v>40.42</v>
      </c>
      <c r="N296" s="1" t="s">
        <v>325</v>
      </c>
    </row>
    <row r="297" spans="1:14" x14ac:dyDescent="0.25">
      <c r="A297">
        <v>2023</v>
      </c>
      <c r="B297">
        <v>3</v>
      </c>
      <c r="C297" t="s">
        <v>64</v>
      </c>
      <c r="D297" t="str">
        <f t="shared" si="4"/>
        <v>Mar</v>
      </c>
      <c r="E297">
        <v>1</v>
      </c>
      <c r="F297" t="s">
        <v>23</v>
      </c>
      <c r="G297" t="s">
        <v>15</v>
      </c>
      <c r="H297">
        <v>790</v>
      </c>
      <c r="I297">
        <v>1057</v>
      </c>
      <c r="J297">
        <v>20224.43</v>
      </c>
      <c r="K297">
        <v>16214.43</v>
      </c>
      <c r="L297">
        <v>4010</v>
      </c>
      <c r="M297">
        <v>23.96</v>
      </c>
      <c r="N297" s="1" t="s">
        <v>326</v>
      </c>
    </row>
    <row r="298" spans="1:14" x14ac:dyDescent="0.25">
      <c r="A298">
        <v>2023</v>
      </c>
      <c r="B298">
        <v>3</v>
      </c>
      <c r="C298" t="s">
        <v>64</v>
      </c>
      <c r="D298" t="str">
        <f t="shared" si="4"/>
        <v>Mar</v>
      </c>
      <c r="E298">
        <v>1</v>
      </c>
      <c r="F298" t="s">
        <v>17</v>
      </c>
      <c r="G298" t="s">
        <v>19</v>
      </c>
      <c r="H298">
        <v>2185</v>
      </c>
      <c r="I298">
        <v>2922</v>
      </c>
      <c r="J298">
        <v>51722.78</v>
      </c>
      <c r="K298">
        <v>30776.78</v>
      </c>
      <c r="L298">
        <v>20946</v>
      </c>
      <c r="M298">
        <v>41.27</v>
      </c>
      <c r="N298" s="1" t="s">
        <v>327</v>
      </c>
    </row>
    <row r="299" spans="1:14" x14ac:dyDescent="0.25">
      <c r="A299">
        <v>2023</v>
      </c>
      <c r="B299">
        <v>3</v>
      </c>
      <c r="C299" t="s">
        <v>64</v>
      </c>
      <c r="D299" t="str">
        <f t="shared" si="4"/>
        <v>Mar</v>
      </c>
      <c r="E299">
        <v>1</v>
      </c>
      <c r="F299" t="s">
        <v>14</v>
      </c>
      <c r="G299" t="s">
        <v>15</v>
      </c>
      <c r="H299">
        <v>828</v>
      </c>
      <c r="I299">
        <v>1290</v>
      </c>
      <c r="J299">
        <v>13676.1</v>
      </c>
      <c r="K299">
        <v>8692.1</v>
      </c>
      <c r="L299">
        <v>4984</v>
      </c>
      <c r="M299">
        <v>37.99</v>
      </c>
      <c r="N299" s="1" t="s">
        <v>328</v>
      </c>
    </row>
    <row r="300" spans="1:14" x14ac:dyDescent="0.25">
      <c r="A300">
        <v>2023</v>
      </c>
      <c r="B300">
        <v>3</v>
      </c>
      <c r="C300" t="s">
        <v>64</v>
      </c>
      <c r="D300" t="str">
        <f t="shared" si="4"/>
        <v>Mar</v>
      </c>
      <c r="E300">
        <v>1</v>
      </c>
      <c r="F300" t="s">
        <v>28</v>
      </c>
      <c r="G300" t="s">
        <v>26</v>
      </c>
      <c r="H300">
        <v>1940</v>
      </c>
      <c r="I300">
        <v>2351</v>
      </c>
      <c r="J300">
        <v>31803.49</v>
      </c>
      <c r="K300">
        <v>23840.49</v>
      </c>
      <c r="L300">
        <v>7963</v>
      </c>
      <c r="M300">
        <v>23.48</v>
      </c>
      <c r="N300" s="1" t="s">
        <v>329</v>
      </c>
    </row>
    <row r="301" spans="1:14" x14ac:dyDescent="0.25">
      <c r="A301">
        <v>2023</v>
      </c>
      <c r="B301">
        <v>3</v>
      </c>
      <c r="C301" t="s">
        <v>64</v>
      </c>
      <c r="D301" t="str">
        <f t="shared" si="4"/>
        <v>Mar</v>
      </c>
      <c r="E301">
        <v>1</v>
      </c>
      <c r="F301" t="s">
        <v>14</v>
      </c>
      <c r="G301" t="s">
        <v>19</v>
      </c>
      <c r="H301">
        <v>4938</v>
      </c>
      <c r="I301">
        <v>6488</v>
      </c>
      <c r="J301">
        <v>73577.119999999995</v>
      </c>
      <c r="K301">
        <v>50794.12</v>
      </c>
      <c r="L301">
        <v>22783</v>
      </c>
      <c r="M301">
        <v>35.56</v>
      </c>
      <c r="N301" s="1" t="s">
        <v>330</v>
      </c>
    </row>
    <row r="302" spans="1:14" x14ac:dyDescent="0.25">
      <c r="A302">
        <v>2023</v>
      </c>
      <c r="B302">
        <v>4</v>
      </c>
      <c r="C302" t="s">
        <v>85</v>
      </c>
      <c r="D302" t="str">
        <f t="shared" si="4"/>
        <v>Apr</v>
      </c>
      <c r="E302">
        <v>2</v>
      </c>
      <c r="F302" t="s">
        <v>28</v>
      </c>
      <c r="G302" t="s">
        <v>21</v>
      </c>
      <c r="H302">
        <v>895</v>
      </c>
      <c r="I302">
        <v>1065</v>
      </c>
      <c r="J302">
        <v>14270.35</v>
      </c>
      <c r="K302">
        <v>10820.35</v>
      </c>
      <c r="L302">
        <v>3450</v>
      </c>
      <c r="M302">
        <v>22.69</v>
      </c>
      <c r="N302" s="1" t="s">
        <v>331</v>
      </c>
    </row>
    <row r="303" spans="1:14" x14ac:dyDescent="0.25">
      <c r="A303">
        <v>2023</v>
      </c>
      <c r="B303">
        <v>4</v>
      </c>
      <c r="C303" t="s">
        <v>85</v>
      </c>
      <c r="D303" t="str">
        <f t="shared" si="4"/>
        <v>Apr</v>
      </c>
      <c r="E303">
        <v>2</v>
      </c>
      <c r="F303" t="s">
        <v>17</v>
      </c>
      <c r="G303" t="s">
        <v>21</v>
      </c>
      <c r="H303">
        <v>442</v>
      </c>
      <c r="I303">
        <v>595</v>
      </c>
      <c r="J303">
        <v>9784.0499999999993</v>
      </c>
      <c r="K303">
        <v>5297.05</v>
      </c>
      <c r="L303">
        <v>4487</v>
      </c>
      <c r="M303">
        <v>45.87</v>
      </c>
      <c r="N303" s="1" t="s">
        <v>332</v>
      </c>
    </row>
    <row r="304" spans="1:14" x14ac:dyDescent="0.25">
      <c r="A304">
        <v>2023</v>
      </c>
      <c r="B304">
        <v>4</v>
      </c>
      <c r="C304" t="s">
        <v>85</v>
      </c>
      <c r="D304" t="str">
        <f t="shared" si="4"/>
        <v>Apr</v>
      </c>
      <c r="E304">
        <v>2</v>
      </c>
      <c r="F304" t="s">
        <v>17</v>
      </c>
      <c r="G304" t="s">
        <v>19</v>
      </c>
      <c r="H304">
        <v>2124</v>
      </c>
      <c r="I304">
        <v>2459</v>
      </c>
      <c r="J304">
        <v>43945.41</v>
      </c>
      <c r="K304">
        <v>26442.41</v>
      </c>
      <c r="L304">
        <v>17503</v>
      </c>
      <c r="M304">
        <v>41.8</v>
      </c>
      <c r="N304" s="1" t="s">
        <v>333</v>
      </c>
    </row>
    <row r="305" spans="1:14" x14ac:dyDescent="0.25">
      <c r="A305">
        <v>2023</v>
      </c>
      <c r="B305">
        <v>4</v>
      </c>
      <c r="C305" t="s">
        <v>85</v>
      </c>
      <c r="D305" t="str">
        <f t="shared" si="4"/>
        <v>Apr</v>
      </c>
      <c r="E305">
        <v>2</v>
      </c>
      <c r="F305" t="s">
        <v>14</v>
      </c>
      <c r="G305" t="s">
        <v>21</v>
      </c>
      <c r="H305">
        <v>810</v>
      </c>
      <c r="I305">
        <v>1015</v>
      </c>
      <c r="J305">
        <v>11997.85</v>
      </c>
      <c r="K305">
        <v>8282.85</v>
      </c>
      <c r="L305">
        <v>3715</v>
      </c>
      <c r="M305">
        <v>36.479999999999997</v>
      </c>
      <c r="N305" s="1" t="s">
        <v>334</v>
      </c>
    </row>
    <row r="306" spans="1:14" x14ac:dyDescent="0.25">
      <c r="A306">
        <v>2023</v>
      </c>
      <c r="B306">
        <v>4</v>
      </c>
      <c r="C306" t="s">
        <v>85</v>
      </c>
      <c r="D306" t="str">
        <f t="shared" si="4"/>
        <v>Apr</v>
      </c>
      <c r="E306">
        <v>2</v>
      </c>
      <c r="F306" t="s">
        <v>28</v>
      </c>
      <c r="G306" t="s">
        <v>15</v>
      </c>
      <c r="H306">
        <v>647</v>
      </c>
      <c r="I306">
        <v>789</v>
      </c>
      <c r="J306">
        <v>10282.11</v>
      </c>
      <c r="K306">
        <v>8119.11</v>
      </c>
      <c r="L306">
        <v>2163</v>
      </c>
      <c r="M306">
        <v>20.36</v>
      </c>
      <c r="N306" s="1" t="s">
        <v>335</v>
      </c>
    </row>
    <row r="307" spans="1:14" x14ac:dyDescent="0.25">
      <c r="A307">
        <v>2023</v>
      </c>
      <c r="B307">
        <v>4</v>
      </c>
      <c r="C307" t="s">
        <v>85</v>
      </c>
      <c r="D307" t="str">
        <f t="shared" si="4"/>
        <v>Apr</v>
      </c>
      <c r="E307">
        <v>2</v>
      </c>
      <c r="F307" t="s">
        <v>17</v>
      </c>
      <c r="G307" t="s">
        <v>15</v>
      </c>
      <c r="H307">
        <v>368</v>
      </c>
      <c r="I307">
        <v>557</v>
      </c>
      <c r="J307">
        <v>10043.43</v>
      </c>
      <c r="K307">
        <v>6097.43</v>
      </c>
      <c r="L307">
        <v>3946</v>
      </c>
      <c r="M307">
        <v>42.11</v>
      </c>
      <c r="N307" s="1" t="s">
        <v>336</v>
      </c>
    </row>
    <row r="308" spans="1:14" x14ac:dyDescent="0.25">
      <c r="A308">
        <v>2023</v>
      </c>
      <c r="B308">
        <v>4</v>
      </c>
      <c r="C308" t="s">
        <v>85</v>
      </c>
      <c r="D308" t="str">
        <f t="shared" si="4"/>
        <v>Apr</v>
      </c>
      <c r="E308">
        <v>2</v>
      </c>
      <c r="F308" t="s">
        <v>25</v>
      </c>
      <c r="G308" t="s">
        <v>15</v>
      </c>
      <c r="H308">
        <v>1284</v>
      </c>
      <c r="I308">
        <v>2167</v>
      </c>
      <c r="J308">
        <v>18701.330000000002</v>
      </c>
      <c r="K308">
        <v>13882.33</v>
      </c>
      <c r="L308">
        <v>4819</v>
      </c>
      <c r="M308">
        <v>32.520000000000003</v>
      </c>
      <c r="N308" s="1" t="s">
        <v>337</v>
      </c>
    </row>
    <row r="309" spans="1:14" x14ac:dyDescent="0.25">
      <c r="A309">
        <v>2023</v>
      </c>
      <c r="B309">
        <v>4</v>
      </c>
      <c r="C309" t="s">
        <v>85</v>
      </c>
      <c r="D309" t="str">
        <f t="shared" si="4"/>
        <v>Apr</v>
      </c>
      <c r="E309">
        <v>2</v>
      </c>
      <c r="F309" t="s">
        <v>28</v>
      </c>
      <c r="G309" t="s">
        <v>19</v>
      </c>
      <c r="H309">
        <v>4635</v>
      </c>
      <c r="I309">
        <v>5842</v>
      </c>
      <c r="J309">
        <v>76691.58</v>
      </c>
      <c r="K309">
        <v>58760.58</v>
      </c>
      <c r="L309">
        <v>17931</v>
      </c>
      <c r="M309">
        <v>22.74</v>
      </c>
      <c r="N309" s="1" t="s">
        <v>338</v>
      </c>
    </row>
    <row r="310" spans="1:14" x14ac:dyDescent="0.25">
      <c r="A310">
        <v>2023</v>
      </c>
      <c r="B310">
        <v>4</v>
      </c>
      <c r="C310" t="s">
        <v>85</v>
      </c>
      <c r="D310" t="str">
        <f t="shared" si="4"/>
        <v>Apr</v>
      </c>
      <c r="E310">
        <v>2</v>
      </c>
      <c r="F310" t="s">
        <v>14</v>
      </c>
      <c r="G310" t="s">
        <v>26</v>
      </c>
      <c r="H310">
        <v>1882</v>
      </c>
      <c r="I310">
        <v>2234</v>
      </c>
      <c r="J310">
        <v>24401.66</v>
      </c>
      <c r="K310">
        <v>16683.66</v>
      </c>
      <c r="L310">
        <v>7718</v>
      </c>
      <c r="M310">
        <v>38.11</v>
      </c>
      <c r="N310" s="1" t="s">
        <v>339</v>
      </c>
    </row>
    <row r="311" spans="1:14" x14ac:dyDescent="0.25">
      <c r="A311">
        <v>2023</v>
      </c>
      <c r="B311">
        <v>4</v>
      </c>
      <c r="C311" t="s">
        <v>85</v>
      </c>
      <c r="D311" t="str">
        <f t="shared" si="4"/>
        <v>Apr</v>
      </c>
      <c r="E311">
        <v>2</v>
      </c>
      <c r="F311" t="s">
        <v>25</v>
      </c>
      <c r="G311" t="s">
        <v>26</v>
      </c>
      <c r="H311">
        <v>3210</v>
      </c>
      <c r="I311">
        <v>5213</v>
      </c>
      <c r="J311">
        <v>52262.87</v>
      </c>
      <c r="K311">
        <v>40282.870000000003</v>
      </c>
      <c r="L311">
        <v>11980</v>
      </c>
      <c r="M311">
        <v>31.45</v>
      </c>
      <c r="N311" s="1" t="s">
        <v>340</v>
      </c>
    </row>
    <row r="312" spans="1:14" x14ac:dyDescent="0.25">
      <c r="A312">
        <v>2023</v>
      </c>
      <c r="B312">
        <v>4</v>
      </c>
      <c r="C312" t="s">
        <v>85</v>
      </c>
      <c r="D312" t="str">
        <f t="shared" si="4"/>
        <v>Apr</v>
      </c>
      <c r="E312">
        <v>2</v>
      </c>
      <c r="F312" t="s">
        <v>17</v>
      </c>
      <c r="G312" t="s">
        <v>26</v>
      </c>
      <c r="H312">
        <v>1084</v>
      </c>
      <c r="I312">
        <v>1473</v>
      </c>
      <c r="J312">
        <v>25401.27</v>
      </c>
      <c r="K312">
        <v>14630.27</v>
      </c>
      <c r="L312">
        <v>10771</v>
      </c>
      <c r="M312">
        <v>42.95</v>
      </c>
      <c r="N312" s="1" t="s">
        <v>341</v>
      </c>
    </row>
    <row r="313" spans="1:14" x14ac:dyDescent="0.25">
      <c r="A313">
        <v>2023</v>
      </c>
      <c r="B313">
        <v>4</v>
      </c>
      <c r="C313" t="s">
        <v>85</v>
      </c>
      <c r="D313" t="str">
        <f t="shared" si="4"/>
        <v>Apr</v>
      </c>
      <c r="E313">
        <v>2</v>
      </c>
      <c r="F313" t="s">
        <v>23</v>
      </c>
      <c r="G313" t="s">
        <v>19</v>
      </c>
      <c r="H313">
        <v>7185</v>
      </c>
      <c r="I313">
        <v>8686</v>
      </c>
      <c r="J313">
        <v>148292.14000000001</v>
      </c>
      <c r="K313">
        <v>116667.14</v>
      </c>
      <c r="L313">
        <v>31625</v>
      </c>
      <c r="M313">
        <v>23.95</v>
      </c>
      <c r="N313" s="1" t="s">
        <v>342</v>
      </c>
    </row>
    <row r="314" spans="1:14" x14ac:dyDescent="0.25">
      <c r="A314">
        <v>2023</v>
      </c>
      <c r="B314">
        <v>4</v>
      </c>
      <c r="C314" t="s">
        <v>85</v>
      </c>
      <c r="D314" t="str">
        <f t="shared" si="4"/>
        <v>Apr</v>
      </c>
      <c r="E314">
        <v>2</v>
      </c>
      <c r="F314" t="s">
        <v>14</v>
      </c>
      <c r="G314" t="s">
        <v>19</v>
      </c>
      <c r="H314">
        <v>4739</v>
      </c>
      <c r="I314">
        <v>5687</v>
      </c>
      <c r="J314">
        <v>66338.13</v>
      </c>
      <c r="K314">
        <v>47222.13</v>
      </c>
      <c r="L314">
        <v>19116</v>
      </c>
      <c r="M314">
        <v>34.700000000000003</v>
      </c>
      <c r="N314" s="1" t="s">
        <v>343</v>
      </c>
    </row>
    <row r="315" spans="1:14" x14ac:dyDescent="0.25">
      <c r="A315">
        <v>2023</v>
      </c>
      <c r="B315">
        <v>4</v>
      </c>
      <c r="C315" t="s">
        <v>85</v>
      </c>
      <c r="D315" t="str">
        <f t="shared" si="4"/>
        <v>Apr</v>
      </c>
      <c r="E315">
        <v>2</v>
      </c>
      <c r="F315" t="s">
        <v>14</v>
      </c>
      <c r="G315" t="s">
        <v>15</v>
      </c>
      <c r="H315">
        <v>900</v>
      </c>
      <c r="I315">
        <v>1782</v>
      </c>
      <c r="J315">
        <v>18459.18</v>
      </c>
      <c r="K315">
        <v>10994.18</v>
      </c>
      <c r="L315">
        <v>7465</v>
      </c>
      <c r="M315">
        <v>40.74</v>
      </c>
      <c r="N315" s="1" t="s">
        <v>344</v>
      </c>
    </row>
    <row r="316" spans="1:14" x14ac:dyDescent="0.25">
      <c r="A316">
        <v>2023</v>
      </c>
      <c r="B316">
        <v>4</v>
      </c>
      <c r="C316" t="s">
        <v>85</v>
      </c>
      <c r="D316" t="str">
        <f t="shared" si="4"/>
        <v>Apr</v>
      </c>
      <c r="E316">
        <v>2</v>
      </c>
      <c r="F316" t="s">
        <v>23</v>
      </c>
      <c r="G316" t="s">
        <v>21</v>
      </c>
      <c r="H316">
        <v>1151</v>
      </c>
      <c r="I316">
        <v>1514</v>
      </c>
      <c r="J316">
        <v>30652.86</v>
      </c>
      <c r="K316">
        <v>25444.86</v>
      </c>
      <c r="L316">
        <v>5208</v>
      </c>
      <c r="M316">
        <v>21.3</v>
      </c>
      <c r="N316" s="1" t="s">
        <v>345</v>
      </c>
    </row>
    <row r="317" spans="1:14" x14ac:dyDescent="0.25">
      <c r="A317">
        <v>2023</v>
      </c>
      <c r="B317">
        <v>4</v>
      </c>
      <c r="C317" t="s">
        <v>85</v>
      </c>
      <c r="D317" t="str">
        <f t="shared" si="4"/>
        <v>Apr</v>
      </c>
      <c r="E317">
        <v>2</v>
      </c>
      <c r="F317" t="s">
        <v>23</v>
      </c>
      <c r="G317" t="s">
        <v>26</v>
      </c>
      <c r="H317">
        <v>2308</v>
      </c>
      <c r="I317">
        <v>2835</v>
      </c>
      <c r="J317">
        <v>54245.65</v>
      </c>
      <c r="K317">
        <v>43569.65</v>
      </c>
      <c r="L317">
        <v>10676</v>
      </c>
      <c r="M317">
        <v>24.43</v>
      </c>
      <c r="N317" s="1" t="s">
        <v>346</v>
      </c>
    </row>
    <row r="318" spans="1:14" x14ac:dyDescent="0.25">
      <c r="A318">
        <v>2023</v>
      </c>
      <c r="B318">
        <v>4</v>
      </c>
      <c r="C318" t="s">
        <v>85</v>
      </c>
      <c r="D318" t="str">
        <f t="shared" si="4"/>
        <v>Apr</v>
      </c>
      <c r="E318">
        <v>2</v>
      </c>
      <c r="F318" t="s">
        <v>25</v>
      </c>
      <c r="G318" t="s">
        <v>21</v>
      </c>
      <c r="H318">
        <v>1875</v>
      </c>
      <c r="I318">
        <v>3287</v>
      </c>
      <c r="J318">
        <v>26143.13</v>
      </c>
      <c r="K318">
        <v>18454.13</v>
      </c>
      <c r="L318">
        <v>7689</v>
      </c>
      <c r="M318">
        <v>34.78</v>
      </c>
      <c r="N318" s="1" t="s">
        <v>347</v>
      </c>
    </row>
    <row r="319" spans="1:14" x14ac:dyDescent="0.25">
      <c r="A319">
        <v>2023</v>
      </c>
      <c r="B319">
        <v>4</v>
      </c>
      <c r="C319" t="s">
        <v>85</v>
      </c>
      <c r="D319" t="str">
        <f t="shared" si="4"/>
        <v>Apr</v>
      </c>
      <c r="E319">
        <v>2</v>
      </c>
      <c r="F319" t="s">
        <v>23</v>
      </c>
      <c r="G319" t="s">
        <v>15</v>
      </c>
      <c r="H319">
        <v>915</v>
      </c>
      <c r="I319">
        <v>1298</v>
      </c>
      <c r="J319">
        <v>24565.02</v>
      </c>
      <c r="K319">
        <v>19426.02</v>
      </c>
      <c r="L319">
        <v>5139</v>
      </c>
      <c r="M319">
        <v>24.35</v>
      </c>
      <c r="N319" s="1" t="s">
        <v>348</v>
      </c>
    </row>
    <row r="320" spans="1:14" x14ac:dyDescent="0.25">
      <c r="A320">
        <v>2023</v>
      </c>
      <c r="B320">
        <v>4</v>
      </c>
      <c r="C320" t="s">
        <v>85</v>
      </c>
      <c r="D320" t="str">
        <f t="shared" si="4"/>
        <v>Apr</v>
      </c>
      <c r="E320">
        <v>2</v>
      </c>
      <c r="F320" t="s">
        <v>25</v>
      </c>
      <c r="G320" t="s">
        <v>19</v>
      </c>
      <c r="H320">
        <v>9562</v>
      </c>
      <c r="I320">
        <v>15018</v>
      </c>
      <c r="J320">
        <v>133191.82</v>
      </c>
      <c r="K320">
        <v>99959.82</v>
      </c>
      <c r="L320">
        <v>33232</v>
      </c>
      <c r="M320">
        <v>31.83</v>
      </c>
      <c r="N320" s="1" t="s">
        <v>349</v>
      </c>
    </row>
    <row r="321" spans="1:14" x14ac:dyDescent="0.25">
      <c r="A321">
        <v>2023</v>
      </c>
      <c r="B321">
        <v>4</v>
      </c>
      <c r="C321" t="s">
        <v>85</v>
      </c>
      <c r="D321" t="str">
        <f t="shared" si="4"/>
        <v>Apr</v>
      </c>
      <c r="E321">
        <v>2</v>
      </c>
      <c r="F321" t="s">
        <v>28</v>
      </c>
      <c r="G321" t="s">
        <v>26</v>
      </c>
      <c r="H321">
        <v>1752</v>
      </c>
      <c r="I321">
        <v>2077</v>
      </c>
      <c r="J321">
        <v>28021.23</v>
      </c>
      <c r="K321">
        <v>21558.23</v>
      </c>
      <c r="L321">
        <v>6463</v>
      </c>
      <c r="M321">
        <v>22.73</v>
      </c>
      <c r="N321" s="1" t="s">
        <v>350</v>
      </c>
    </row>
    <row r="322" spans="1:14" x14ac:dyDescent="0.25">
      <c r="A322">
        <v>2023</v>
      </c>
      <c r="B322">
        <v>5</v>
      </c>
      <c r="C322" t="s">
        <v>105</v>
      </c>
      <c r="D322" t="str">
        <f t="shared" ref="D322:D385" si="5">LEFT(C322,3)</f>
        <v>May</v>
      </c>
      <c r="E322">
        <v>2</v>
      </c>
      <c r="F322" t="s">
        <v>25</v>
      </c>
      <c r="G322" t="s">
        <v>15</v>
      </c>
      <c r="H322">
        <v>1277</v>
      </c>
      <c r="I322">
        <v>2033</v>
      </c>
      <c r="J322">
        <v>19281.669999999998</v>
      </c>
      <c r="K322">
        <v>14111.67</v>
      </c>
      <c r="L322">
        <v>5170</v>
      </c>
      <c r="M322">
        <v>31.22</v>
      </c>
      <c r="N322" s="1" t="s">
        <v>351</v>
      </c>
    </row>
    <row r="323" spans="1:14" x14ac:dyDescent="0.25">
      <c r="A323">
        <v>2023</v>
      </c>
      <c r="B323">
        <v>5</v>
      </c>
      <c r="C323" t="s">
        <v>105</v>
      </c>
      <c r="D323" t="str">
        <f t="shared" si="5"/>
        <v>May</v>
      </c>
      <c r="E323">
        <v>2</v>
      </c>
      <c r="F323" t="s">
        <v>23</v>
      </c>
      <c r="G323" t="s">
        <v>19</v>
      </c>
      <c r="H323">
        <v>7311</v>
      </c>
      <c r="I323">
        <v>8949</v>
      </c>
      <c r="J323">
        <v>154995.51</v>
      </c>
      <c r="K323">
        <v>122372.51</v>
      </c>
      <c r="L323">
        <v>32623</v>
      </c>
      <c r="M323">
        <v>24.17</v>
      </c>
      <c r="N323" s="1" t="s">
        <v>352</v>
      </c>
    </row>
    <row r="324" spans="1:14" x14ac:dyDescent="0.25">
      <c r="A324">
        <v>2023</v>
      </c>
      <c r="B324">
        <v>5</v>
      </c>
      <c r="C324" t="s">
        <v>105</v>
      </c>
      <c r="D324" t="str">
        <f t="shared" si="5"/>
        <v>May</v>
      </c>
      <c r="E324">
        <v>2</v>
      </c>
      <c r="F324" t="s">
        <v>28</v>
      </c>
      <c r="G324" t="s">
        <v>15</v>
      </c>
      <c r="H324">
        <v>743</v>
      </c>
      <c r="I324">
        <v>1050</v>
      </c>
      <c r="J324">
        <v>13929.5</v>
      </c>
      <c r="K324">
        <v>10883.5</v>
      </c>
      <c r="L324">
        <v>3046</v>
      </c>
      <c r="M324">
        <v>21.68</v>
      </c>
      <c r="N324" s="1" t="s">
        <v>353</v>
      </c>
    </row>
    <row r="325" spans="1:14" x14ac:dyDescent="0.25">
      <c r="A325">
        <v>2023</v>
      </c>
      <c r="B325">
        <v>5</v>
      </c>
      <c r="C325" t="s">
        <v>105</v>
      </c>
      <c r="D325" t="str">
        <f t="shared" si="5"/>
        <v>May</v>
      </c>
      <c r="E325">
        <v>2</v>
      </c>
      <c r="F325" t="s">
        <v>28</v>
      </c>
      <c r="G325" t="s">
        <v>21</v>
      </c>
      <c r="H325">
        <v>853</v>
      </c>
      <c r="I325">
        <v>1004</v>
      </c>
      <c r="J325">
        <v>12859.96</v>
      </c>
      <c r="K325">
        <v>9923.9599999999991</v>
      </c>
      <c r="L325">
        <v>2936</v>
      </c>
      <c r="M325">
        <v>22.12</v>
      </c>
      <c r="N325" s="1" t="s">
        <v>354</v>
      </c>
    </row>
    <row r="326" spans="1:14" x14ac:dyDescent="0.25">
      <c r="A326">
        <v>2023</v>
      </c>
      <c r="B326">
        <v>5</v>
      </c>
      <c r="C326" t="s">
        <v>105</v>
      </c>
      <c r="D326" t="str">
        <f t="shared" si="5"/>
        <v>May</v>
      </c>
      <c r="E326">
        <v>2</v>
      </c>
      <c r="F326" t="s">
        <v>17</v>
      </c>
      <c r="G326" t="s">
        <v>19</v>
      </c>
      <c r="H326">
        <v>2197</v>
      </c>
      <c r="I326">
        <v>2517</v>
      </c>
      <c r="J326">
        <v>45937.83</v>
      </c>
      <c r="K326">
        <v>28297.83</v>
      </c>
      <c r="L326">
        <v>17640</v>
      </c>
      <c r="M326">
        <v>40.65</v>
      </c>
      <c r="N326" s="1" t="s">
        <v>355</v>
      </c>
    </row>
    <row r="327" spans="1:14" x14ac:dyDescent="0.25">
      <c r="A327">
        <v>2023</v>
      </c>
      <c r="B327">
        <v>5</v>
      </c>
      <c r="C327" t="s">
        <v>105</v>
      </c>
      <c r="D327" t="str">
        <f t="shared" si="5"/>
        <v>May</v>
      </c>
      <c r="E327">
        <v>2</v>
      </c>
      <c r="F327" t="s">
        <v>14</v>
      </c>
      <c r="G327" t="s">
        <v>19</v>
      </c>
      <c r="H327">
        <v>4319</v>
      </c>
      <c r="I327">
        <v>4919</v>
      </c>
      <c r="J327">
        <v>58537.81</v>
      </c>
      <c r="K327">
        <v>41822.81</v>
      </c>
      <c r="L327">
        <v>16715</v>
      </c>
      <c r="M327">
        <v>34.700000000000003</v>
      </c>
      <c r="N327" s="1" t="s">
        <v>356</v>
      </c>
    </row>
    <row r="328" spans="1:14" x14ac:dyDescent="0.25">
      <c r="A328">
        <v>2023</v>
      </c>
      <c r="B328">
        <v>5</v>
      </c>
      <c r="C328" t="s">
        <v>105</v>
      </c>
      <c r="D328" t="str">
        <f t="shared" si="5"/>
        <v>May</v>
      </c>
      <c r="E328">
        <v>2</v>
      </c>
      <c r="F328" t="s">
        <v>17</v>
      </c>
      <c r="G328" t="s">
        <v>15</v>
      </c>
      <c r="H328">
        <v>353</v>
      </c>
      <c r="I328">
        <v>416</v>
      </c>
      <c r="J328">
        <v>7627.84</v>
      </c>
      <c r="K328">
        <v>4731.84</v>
      </c>
      <c r="L328">
        <v>2896</v>
      </c>
      <c r="M328">
        <v>41.21</v>
      </c>
      <c r="N328" s="1" t="s">
        <v>357</v>
      </c>
    </row>
    <row r="329" spans="1:14" x14ac:dyDescent="0.25">
      <c r="A329">
        <v>2023</v>
      </c>
      <c r="B329">
        <v>5</v>
      </c>
      <c r="C329" t="s">
        <v>105</v>
      </c>
      <c r="D329" t="str">
        <f t="shared" si="5"/>
        <v>May</v>
      </c>
      <c r="E329">
        <v>2</v>
      </c>
      <c r="F329" t="s">
        <v>17</v>
      </c>
      <c r="G329" t="s">
        <v>21</v>
      </c>
      <c r="H329">
        <v>375</v>
      </c>
      <c r="I329">
        <v>437</v>
      </c>
      <c r="J329">
        <v>7301.63</v>
      </c>
      <c r="K329">
        <v>4052.63</v>
      </c>
      <c r="L329">
        <v>3249</v>
      </c>
      <c r="M329">
        <v>45.24</v>
      </c>
      <c r="N329" s="1" t="s">
        <v>358</v>
      </c>
    </row>
    <row r="330" spans="1:14" x14ac:dyDescent="0.25">
      <c r="A330">
        <v>2023</v>
      </c>
      <c r="B330">
        <v>5</v>
      </c>
      <c r="C330" t="s">
        <v>105</v>
      </c>
      <c r="D330" t="str">
        <f t="shared" si="5"/>
        <v>May</v>
      </c>
      <c r="E330">
        <v>2</v>
      </c>
      <c r="F330" t="s">
        <v>23</v>
      </c>
      <c r="G330" t="s">
        <v>26</v>
      </c>
      <c r="H330">
        <v>2587</v>
      </c>
      <c r="I330">
        <v>3182</v>
      </c>
      <c r="J330">
        <v>56371.18</v>
      </c>
      <c r="K330">
        <v>44864.18</v>
      </c>
      <c r="L330">
        <v>11507</v>
      </c>
      <c r="M330">
        <v>24.53</v>
      </c>
      <c r="N330" s="1" t="s">
        <v>359</v>
      </c>
    </row>
    <row r="331" spans="1:14" x14ac:dyDescent="0.25">
      <c r="A331">
        <v>2023</v>
      </c>
      <c r="B331">
        <v>5</v>
      </c>
      <c r="C331" t="s">
        <v>105</v>
      </c>
      <c r="D331" t="str">
        <f t="shared" si="5"/>
        <v>May</v>
      </c>
      <c r="E331">
        <v>2</v>
      </c>
      <c r="F331" t="s">
        <v>25</v>
      </c>
      <c r="G331" t="s">
        <v>26</v>
      </c>
      <c r="H331">
        <v>3190</v>
      </c>
      <c r="I331">
        <v>4531</v>
      </c>
      <c r="J331">
        <v>45032.69</v>
      </c>
      <c r="K331">
        <v>34268.69</v>
      </c>
      <c r="L331">
        <v>10764</v>
      </c>
      <c r="M331">
        <v>31.06</v>
      </c>
      <c r="N331" s="1" t="s">
        <v>360</v>
      </c>
    </row>
    <row r="332" spans="1:14" x14ac:dyDescent="0.25">
      <c r="A332">
        <v>2023</v>
      </c>
      <c r="B332">
        <v>5</v>
      </c>
      <c r="C332" t="s">
        <v>105</v>
      </c>
      <c r="D332" t="str">
        <f t="shared" si="5"/>
        <v>May</v>
      </c>
      <c r="E332">
        <v>2</v>
      </c>
      <c r="F332" t="s">
        <v>28</v>
      </c>
      <c r="G332" t="s">
        <v>19</v>
      </c>
      <c r="H332">
        <v>5140</v>
      </c>
      <c r="I332">
        <v>6016</v>
      </c>
      <c r="J332">
        <v>77372.84</v>
      </c>
      <c r="K332">
        <v>58739.839999999997</v>
      </c>
      <c r="L332">
        <v>18633</v>
      </c>
      <c r="M332">
        <v>23.13</v>
      </c>
      <c r="N332" s="1" t="s">
        <v>361</v>
      </c>
    </row>
    <row r="333" spans="1:14" x14ac:dyDescent="0.25">
      <c r="A333">
        <v>2023</v>
      </c>
      <c r="B333">
        <v>5</v>
      </c>
      <c r="C333" t="s">
        <v>105</v>
      </c>
      <c r="D333" t="str">
        <f t="shared" si="5"/>
        <v>May</v>
      </c>
      <c r="E333">
        <v>2</v>
      </c>
      <c r="F333" t="s">
        <v>14</v>
      </c>
      <c r="G333" t="s">
        <v>15</v>
      </c>
      <c r="H333">
        <v>758</v>
      </c>
      <c r="I333">
        <v>1060</v>
      </c>
      <c r="J333">
        <v>12463.4</v>
      </c>
      <c r="K333">
        <v>8190.4</v>
      </c>
      <c r="L333">
        <v>4273</v>
      </c>
      <c r="M333">
        <v>38.79</v>
      </c>
      <c r="N333" s="1" t="s">
        <v>362</v>
      </c>
    </row>
    <row r="334" spans="1:14" x14ac:dyDescent="0.25">
      <c r="A334">
        <v>2023</v>
      </c>
      <c r="B334">
        <v>5</v>
      </c>
      <c r="C334" t="s">
        <v>105</v>
      </c>
      <c r="D334" t="str">
        <f t="shared" si="5"/>
        <v>May</v>
      </c>
      <c r="E334">
        <v>2</v>
      </c>
      <c r="F334" t="s">
        <v>23</v>
      </c>
      <c r="G334" t="s">
        <v>21</v>
      </c>
      <c r="H334">
        <v>1372</v>
      </c>
      <c r="I334">
        <v>1642</v>
      </c>
      <c r="J334">
        <v>29215.58</v>
      </c>
      <c r="K334">
        <v>23058.58</v>
      </c>
      <c r="L334">
        <v>6157</v>
      </c>
      <c r="M334">
        <v>23.92</v>
      </c>
      <c r="N334" s="1" t="s">
        <v>363</v>
      </c>
    </row>
    <row r="335" spans="1:14" x14ac:dyDescent="0.25">
      <c r="A335">
        <v>2023</v>
      </c>
      <c r="B335">
        <v>5</v>
      </c>
      <c r="C335" t="s">
        <v>105</v>
      </c>
      <c r="D335" t="str">
        <f t="shared" si="5"/>
        <v>May</v>
      </c>
      <c r="E335">
        <v>2</v>
      </c>
      <c r="F335" t="s">
        <v>14</v>
      </c>
      <c r="G335" t="s">
        <v>21</v>
      </c>
      <c r="H335">
        <v>856</v>
      </c>
      <c r="I335">
        <v>1108</v>
      </c>
      <c r="J335">
        <v>12605.92</v>
      </c>
      <c r="K335">
        <v>8813.92</v>
      </c>
      <c r="L335">
        <v>3792</v>
      </c>
      <c r="M335">
        <v>36.36</v>
      </c>
      <c r="N335" s="1" t="s">
        <v>364</v>
      </c>
    </row>
    <row r="336" spans="1:14" x14ac:dyDescent="0.25">
      <c r="A336">
        <v>2023</v>
      </c>
      <c r="B336">
        <v>5</v>
      </c>
      <c r="C336" t="s">
        <v>105</v>
      </c>
      <c r="D336" t="str">
        <f t="shared" si="5"/>
        <v>May</v>
      </c>
      <c r="E336">
        <v>2</v>
      </c>
      <c r="F336" t="s">
        <v>25</v>
      </c>
      <c r="G336" t="s">
        <v>19</v>
      </c>
      <c r="H336">
        <v>9578</v>
      </c>
      <c r="I336">
        <v>14493</v>
      </c>
      <c r="J336">
        <v>136115.07</v>
      </c>
      <c r="K336">
        <v>103209.07</v>
      </c>
      <c r="L336">
        <v>32906</v>
      </c>
      <c r="M336">
        <v>30.7</v>
      </c>
      <c r="N336" s="1" t="s">
        <v>365</v>
      </c>
    </row>
    <row r="337" spans="1:14" x14ac:dyDescent="0.25">
      <c r="A337">
        <v>2023</v>
      </c>
      <c r="B337">
        <v>5</v>
      </c>
      <c r="C337" t="s">
        <v>105</v>
      </c>
      <c r="D337" t="str">
        <f t="shared" si="5"/>
        <v>May</v>
      </c>
      <c r="E337">
        <v>2</v>
      </c>
      <c r="F337" t="s">
        <v>17</v>
      </c>
      <c r="G337" t="s">
        <v>26</v>
      </c>
      <c r="H337">
        <v>1031</v>
      </c>
      <c r="I337">
        <v>1311</v>
      </c>
      <c r="J337">
        <v>23036.89</v>
      </c>
      <c r="K337">
        <v>13629.89</v>
      </c>
      <c r="L337">
        <v>9407</v>
      </c>
      <c r="M337">
        <v>42.72</v>
      </c>
      <c r="N337" s="1" t="s">
        <v>366</v>
      </c>
    </row>
    <row r="338" spans="1:14" x14ac:dyDescent="0.25">
      <c r="A338">
        <v>2023</v>
      </c>
      <c r="B338">
        <v>5</v>
      </c>
      <c r="C338" t="s">
        <v>105</v>
      </c>
      <c r="D338" t="str">
        <f t="shared" si="5"/>
        <v>May</v>
      </c>
      <c r="E338">
        <v>2</v>
      </c>
      <c r="F338" t="s">
        <v>23</v>
      </c>
      <c r="G338" t="s">
        <v>15</v>
      </c>
      <c r="H338">
        <v>1165</v>
      </c>
      <c r="I338">
        <v>1492</v>
      </c>
      <c r="J338">
        <v>27793.08</v>
      </c>
      <c r="K338">
        <v>21678.080000000002</v>
      </c>
      <c r="L338">
        <v>6115</v>
      </c>
      <c r="M338">
        <v>26.22</v>
      </c>
      <c r="N338" s="1" t="s">
        <v>367</v>
      </c>
    </row>
    <row r="339" spans="1:14" x14ac:dyDescent="0.25">
      <c r="A339">
        <v>2023</v>
      </c>
      <c r="B339">
        <v>5</v>
      </c>
      <c r="C339" t="s">
        <v>105</v>
      </c>
      <c r="D339" t="str">
        <f t="shared" si="5"/>
        <v>May</v>
      </c>
      <c r="E339">
        <v>2</v>
      </c>
      <c r="F339" t="s">
        <v>28</v>
      </c>
      <c r="G339" t="s">
        <v>26</v>
      </c>
      <c r="H339">
        <v>1937</v>
      </c>
      <c r="I339">
        <v>2451</v>
      </c>
      <c r="J339">
        <v>33219.49</v>
      </c>
      <c r="K339">
        <v>25282.49</v>
      </c>
      <c r="L339">
        <v>7937</v>
      </c>
      <c r="M339">
        <v>23.58</v>
      </c>
      <c r="N339" s="1" t="s">
        <v>368</v>
      </c>
    </row>
    <row r="340" spans="1:14" x14ac:dyDescent="0.25">
      <c r="A340">
        <v>2023</v>
      </c>
      <c r="B340">
        <v>5</v>
      </c>
      <c r="C340" t="s">
        <v>105</v>
      </c>
      <c r="D340" t="str">
        <f t="shared" si="5"/>
        <v>May</v>
      </c>
      <c r="E340">
        <v>2</v>
      </c>
      <c r="F340" t="s">
        <v>25</v>
      </c>
      <c r="G340" t="s">
        <v>21</v>
      </c>
      <c r="H340">
        <v>1893</v>
      </c>
      <c r="I340">
        <v>3156</v>
      </c>
      <c r="J340">
        <v>26414.44</v>
      </c>
      <c r="K340">
        <v>18779.439999999999</v>
      </c>
      <c r="L340">
        <v>7635</v>
      </c>
      <c r="M340">
        <v>35.49</v>
      </c>
      <c r="N340" s="1" t="s">
        <v>369</v>
      </c>
    </row>
    <row r="341" spans="1:14" x14ac:dyDescent="0.25">
      <c r="A341">
        <v>2023</v>
      </c>
      <c r="B341">
        <v>5</v>
      </c>
      <c r="C341" t="s">
        <v>105</v>
      </c>
      <c r="D341" t="str">
        <f t="shared" si="5"/>
        <v>May</v>
      </c>
      <c r="E341">
        <v>2</v>
      </c>
      <c r="F341" t="s">
        <v>14</v>
      </c>
      <c r="G341" t="s">
        <v>26</v>
      </c>
      <c r="H341">
        <v>1707</v>
      </c>
      <c r="I341">
        <v>2084</v>
      </c>
      <c r="J341">
        <v>25207.16</v>
      </c>
      <c r="K341">
        <v>18261.16</v>
      </c>
      <c r="L341">
        <v>6946</v>
      </c>
      <c r="M341">
        <v>35.42</v>
      </c>
      <c r="N341" s="1" t="s">
        <v>370</v>
      </c>
    </row>
    <row r="342" spans="1:14" x14ac:dyDescent="0.25">
      <c r="A342">
        <v>2023</v>
      </c>
      <c r="B342">
        <v>6</v>
      </c>
      <c r="C342" t="s">
        <v>126</v>
      </c>
      <c r="D342" t="str">
        <f t="shared" si="5"/>
        <v>Jun</v>
      </c>
      <c r="E342">
        <v>2</v>
      </c>
      <c r="F342" t="s">
        <v>25</v>
      </c>
      <c r="G342" t="s">
        <v>19</v>
      </c>
      <c r="H342">
        <v>9427</v>
      </c>
      <c r="I342">
        <v>14844</v>
      </c>
      <c r="J342">
        <v>126058.56</v>
      </c>
      <c r="K342">
        <v>94451.56</v>
      </c>
      <c r="L342">
        <v>31607</v>
      </c>
      <c r="M342">
        <v>31.57</v>
      </c>
      <c r="N342" s="1" t="s">
        <v>371</v>
      </c>
    </row>
    <row r="343" spans="1:14" x14ac:dyDescent="0.25">
      <c r="A343">
        <v>2023</v>
      </c>
      <c r="B343">
        <v>6</v>
      </c>
      <c r="C343" t="s">
        <v>126</v>
      </c>
      <c r="D343" t="str">
        <f t="shared" si="5"/>
        <v>Jun</v>
      </c>
      <c r="E343">
        <v>2</v>
      </c>
      <c r="F343" t="s">
        <v>14</v>
      </c>
      <c r="G343" t="s">
        <v>19</v>
      </c>
      <c r="H343">
        <v>3956</v>
      </c>
      <c r="I343">
        <v>4596</v>
      </c>
      <c r="J343">
        <v>52065.04</v>
      </c>
      <c r="K343">
        <v>35656.04</v>
      </c>
      <c r="L343">
        <v>16409</v>
      </c>
      <c r="M343">
        <v>38.11</v>
      </c>
      <c r="N343" s="1" t="s">
        <v>372</v>
      </c>
    </row>
    <row r="344" spans="1:14" x14ac:dyDescent="0.25">
      <c r="A344">
        <v>2023</v>
      </c>
      <c r="B344">
        <v>6</v>
      </c>
      <c r="C344" t="s">
        <v>126</v>
      </c>
      <c r="D344" t="str">
        <f t="shared" si="5"/>
        <v>Jun</v>
      </c>
      <c r="E344">
        <v>2</v>
      </c>
      <c r="F344" t="s">
        <v>17</v>
      </c>
      <c r="G344" t="s">
        <v>21</v>
      </c>
      <c r="H344">
        <v>314</v>
      </c>
      <c r="I344">
        <v>358</v>
      </c>
      <c r="J344">
        <v>6354.42</v>
      </c>
      <c r="K344">
        <v>3794.42</v>
      </c>
      <c r="L344">
        <v>2560</v>
      </c>
      <c r="M344">
        <v>41.73</v>
      </c>
      <c r="N344" s="1" t="s">
        <v>373</v>
      </c>
    </row>
    <row r="345" spans="1:14" x14ac:dyDescent="0.25">
      <c r="A345">
        <v>2023</v>
      </c>
      <c r="B345">
        <v>6</v>
      </c>
      <c r="C345" t="s">
        <v>126</v>
      </c>
      <c r="D345" t="str">
        <f t="shared" si="5"/>
        <v>Jun</v>
      </c>
      <c r="E345">
        <v>2</v>
      </c>
      <c r="F345" t="s">
        <v>23</v>
      </c>
      <c r="G345" t="s">
        <v>19</v>
      </c>
      <c r="H345">
        <v>7822</v>
      </c>
      <c r="I345">
        <v>9526</v>
      </c>
      <c r="J345">
        <v>165207.74</v>
      </c>
      <c r="K345">
        <v>129859.74</v>
      </c>
      <c r="L345">
        <v>35348</v>
      </c>
      <c r="M345">
        <v>24.72</v>
      </c>
      <c r="N345" s="1" t="s">
        <v>374</v>
      </c>
    </row>
    <row r="346" spans="1:14" x14ac:dyDescent="0.25">
      <c r="A346">
        <v>2023</v>
      </c>
      <c r="B346">
        <v>6</v>
      </c>
      <c r="C346" t="s">
        <v>126</v>
      </c>
      <c r="D346" t="str">
        <f t="shared" si="5"/>
        <v>Jun</v>
      </c>
      <c r="E346">
        <v>2</v>
      </c>
      <c r="F346" t="s">
        <v>23</v>
      </c>
      <c r="G346" t="s">
        <v>21</v>
      </c>
      <c r="H346">
        <v>1434</v>
      </c>
      <c r="I346">
        <v>1801</v>
      </c>
      <c r="J346">
        <v>30124.99</v>
      </c>
      <c r="K346">
        <v>23245.99</v>
      </c>
      <c r="L346">
        <v>6879</v>
      </c>
      <c r="M346">
        <v>25.86</v>
      </c>
      <c r="N346" s="1" t="s">
        <v>375</v>
      </c>
    </row>
    <row r="347" spans="1:14" x14ac:dyDescent="0.25">
      <c r="A347">
        <v>2023</v>
      </c>
      <c r="B347">
        <v>6</v>
      </c>
      <c r="C347" t="s">
        <v>126</v>
      </c>
      <c r="D347" t="str">
        <f t="shared" si="5"/>
        <v>Jun</v>
      </c>
      <c r="E347">
        <v>2</v>
      </c>
      <c r="F347" t="s">
        <v>25</v>
      </c>
      <c r="G347" t="s">
        <v>21</v>
      </c>
      <c r="H347">
        <v>1921</v>
      </c>
      <c r="I347">
        <v>2772</v>
      </c>
      <c r="J347">
        <v>20846.28</v>
      </c>
      <c r="K347">
        <v>15127.28</v>
      </c>
      <c r="L347">
        <v>5719</v>
      </c>
      <c r="M347">
        <v>33.92</v>
      </c>
      <c r="N347" s="1" t="s">
        <v>376</v>
      </c>
    </row>
    <row r="348" spans="1:14" x14ac:dyDescent="0.25">
      <c r="A348">
        <v>2023</v>
      </c>
      <c r="B348">
        <v>6</v>
      </c>
      <c r="C348" t="s">
        <v>126</v>
      </c>
      <c r="D348" t="str">
        <f t="shared" si="5"/>
        <v>Jun</v>
      </c>
      <c r="E348">
        <v>2</v>
      </c>
      <c r="F348" t="s">
        <v>25</v>
      </c>
      <c r="G348" t="s">
        <v>15</v>
      </c>
      <c r="H348">
        <v>1076</v>
      </c>
      <c r="I348">
        <v>1646</v>
      </c>
      <c r="J348">
        <v>13148.54</v>
      </c>
      <c r="K348">
        <v>9710.5400000000009</v>
      </c>
      <c r="L348">
        <v>3438</v>
      </c>
      <c r="M348">
        <v>31.51</v>
      </c>
      <c r="N348" s="1" t="s">
        <v>377</v>
      </c>
    </row>
    <row r="349" spans="1:14" x14ac:dyDescent="0.25">
      <c r="A349">
        <v>2023</v>
      </c>
      <c r="B349">
        <v>6</v>
      </c>
      <c r="C349" t="s">
        <v>126</v>
      </c>
      <c r="D349" t="str">
        <f t="shared" si="5"/>
        <v>Jun</v>
      </c>
      <c r="E349">
        <v>2</v>
      </c>
      <c r="F349" t="s">
        <v>23</v>
      </c>
      <c r="G349" t="s">
        <v>15</v>
      </c>
      <c r="H349">
        <v>1263</v>
      </c>
      <c r="I349">
        <v>1691</v>
      </c>
      <c r="J349">
        <v>35779.089999999997</v>
      </c>
      <c r="K349">
        <v>28693.09</v>
      </c>
      <c r="L349">
        <v>7086</v>
      </c>
      <c r="M349">
        <v>24.49</v>
      </c>
      <c r="N349" s="1" t="s">
        <v>378</v>
      </c>
    </row>
    <row r="350" spans="1:14" x14ac:dyDescent="0.25">
      <c r="A350">
        <v>2023</v>
      </c>
      <c r="B350">
        <v>6</v>
      </c>
      <c r="C350" t="s">
        <v>126</v>
      </c>
      <c r="D350" t="str">
        <f t="shared" si="5"/>
        <v>Jun</v>
      </c>
      <c r="E350">
        <v>2</v>
      </c>
      <c r="F350" t="s">
        <v>14</v>
      </c>
      <c r="G350" t="s">
        <v>26</v>
      </c>
      <c r="H350">
        <v>1799</v>
      </c>
      <c r="I350">
        <v>1988</v>
      </c>
      <c r="J350">
        <v>23802.12</v>
      </c>
      <c r="K350">
        <v>16972.12</v>
      </c>
      <c r="L350">
        <v>6830</v>
      </c>
      <c r="M350">
        <v>35.26</v>
      </c>
      <c r="N350" s="1" t="s">
        <v>379</v>
      </c>
    </row>
    <row r="351" spans="1:14" x14ac:dyDescent="0.25">
      <c r="A351">
        <v>2023</v>
      </c>
      <c r="B351">
        <v>6</v>
      </c>
      <c r="C351" t="s">
        <v>126</v>
      </c>
      <c r="D351" t="str">
        <f t="shared" si="5"/>
        <v>Jun</v>
      </c>
      <c r="E351">
        <v>2</v>
      </c>
      <c r="F351" t="s">
        <v>28</v>
      </c>
      <c r="G351" t="s">
        <v>21</v>
      </c>
      <c r="H351">
        <v>873</v>
      </c>
      <c r="I351">
        <v>1172</v>
      </c>
      <c r="J351">
        <v>14317.28</v>
      </c>
      <c r="K351">
        <v>11126.28</v>
      </c>
      <c r="L351">
        <v>3191</v>
      </c>
      <c r="M351">
        <v>21.92</v>
      </c>
      <c r="N351" s="1" t="s">
        <v>380</v>
      </c>
    </row>
    <row r="352" spans="1:14" x14ac:dyDescent="0.25">
      <c r="A352">
        <v>2023</v>
      </c>
      <c r="B352">
        <v>6</v>
      </c>
      <c r="C352" t="s">
        <v>126</v>
      </c>
      <c r="D352" t="str">
        <f t="shared" si="5"/>
        <v>Jun</v>
      </c>
      <c r="E352">
        <v>2</v>
      </c>
      <c r="F352" t="s">
        <v>17</v>
      </c>
      <c r="G352" t="s">
        <v>15</v>
      </c>
      <c r="H352">
        <v>373</v>
      </c>
      <c r="I352">
        <v>482</v>
      </c>
      <c r="J352">
        <v>8444.18</v>
      </c>
      <c r="K352">
        <v>4951.18</v>
      </c>
      <c r="L352">
        <v>3493</v>
      </c>
      <c r="M352">
        <v>44.88</v>
      </c>
      <c r="N352" s="1" t="s">
        <v>381</v>
      </c>
    </row>
    <row r="353" spans="1:14" x14ac:dyDescent="0.25">
      <c r="A353">
        <v>2023</v>
      </c>
      <c r="B353">
        <v>6</v>
      </c>
      <c r="C353" t="s">
        <v>126</v>
      </c>
      <c r="D353" t="str">
        <f t="shared" si="5"/>
        <v>Jun</v>
      </c>
      <c r="E353">
        <v>2</v>
      </c>
      <c r="F353" t="s">
        <v>25</v>
      </c>
      <c r="G353" t="s">
        <v>26</v>
      </c>
      <c r="H353">
        <v>3057</v>
      </c>
      <c r="I353">
        <v>4472</v>
      </c>
      <c r="J353">
        <v>42672.28</v>
      </c>
      <c r="K353">
        <v>32935.279999999999</v>
      </c>
      <c r="L353">
        <v>9737</v>
      </c>
      <c r="M353">
        <v>29.96</v>
      </c>
      <c r="N353" s="1" t="s">
        <v>382</v>
      </c>
    </row>
    <row r="354" spans="1:14" x14ac:dyDescent="0.25">
      <c r="A354">
        <v>2023</v>
      </c>
      <c r="B354">
        <v>6</v>
      </c>
      <c r="C354" t="s">
        <v>126</v>
      </c>
      <c r="D354" t="str">
        <f t="shared" si="5"/>
        <v>Jun</v>
      </c>
      <c r="E354">
        <v>2</v>
      </c>
      <c r="F354" t="s">
        <v>14</v>
      </c>
      <c r="G354" t="s">
        <v>21</v>
      </c>
      <c r="H354">
        <v>897</v>
      </c>
      <c r="I354">
        <v>1068</v>
      </c>
      <c r="J354">
        <v>11820.32</v>
      </c>
      <c r="K354">
        <v>8310.32</v>
      </c>
      <c r="L354">
        <v>3510</v>
      </c>
      <c r="M354">
        <v>35.11</v>
      </c>
      <c r="N354" s="1" t="s">
        <v>383</v>
      </c>
    </row>
    <row r="355" spans="1:14" x14ac:dyDescent="0.25">
      <c r="A355">
        <v>2023</v>
      </c>
      <c r="B355">
        <v>6</v>
      </c>
      <c r="C355" t="s">
        <v>126</v>
      </c>
      <c r="D355" t="str">
        <f t="shared" si="5"/>
        <v>Jun</v>
      </c>
      <c r="E355">
        <v>2</v>
      </c>
      <c r="F355" t="s">
        <v>14</v>
      </c>
      <c r="G355" t="s">
        <v>15</v>
      </c>
      <c r="H355">
        <v>736</v>
      </c>
      <c r="I355">
        <v>1065</v>
      </c>
      <c r="J355">
        <v>11506.35</v>
      </c>
      <c r="K355">
        <v>7058.35</v>
      </c>
      <c r="L355">
        <v>4448</v>
      </c>
      <c r="M355">
        <v>40.93</v>
      </c>
      <c r="N355" s="1" t="s">
        <v>384</v>
      </c>
    </row>
    <row r="356" spans="1:14" x14ac:dyDescent="0.25">
      <c r="A356">
        <v>2023</v>
      </c>
      <c r="B356">
        <v>6</v>
      </c>
      <c r="C356" t="s">
        <v>126</v>
      </c>
      <c r="D356" t="str">
        <f t="shared" si="5"/>
        <v>Jun</v>
      </c>
      <c r="E356">
        <v>2</v>
      </c>
      <c r="F356" t="s">
        <v>17</v>
      </c>
      <c r="G356" t="s">
        <v>19</v>
      </c>
      <c r="H356">
        <v>2018</v>
      </c>
      <c r="I356">
        <v>2422</v>
      </c>
      <c r="J356">
        <v>43021.78</v>
      </c>
      <c r="K356">
        <v>25677.78</v>
      </c>
      <c r="L356">
        <v>17344</v>
      </c>
      <c r="M356">
        <v>42.44</v>
      </c>
      <c r="N356" s="1" t="s">
        <v>385</v>
      </c>
    </row>
    <row r="357" spans="1:14" x14ac:dyDescent="0.25">
      <c r="A357">
        <v>2023</v>
      </c>
      <c r="B357">
        <v>6</v>
      </c>
      <c r="C357" t="s">
        <v>126</v>
      </c>
      <c r="D357" t="str">
        <f t="shared" si="5"/>
        <v>Jun</v>
      </c>
      <c r="E357">
        <v>2</v>
      </c>
      <c r="F357" t="s">
        <v>28</v>
      </c>
      <c r="G357" t="s">
        <v>19</v>
      </c>
      <c r="H357">
        <v>5082</v>
      </c>
      <c r="I357">
        <v>6529</v>
      </c>
      <c r="J357">
        <v>78977.710000000006</v>
      </c>
      <c r="K357">
        <v>61331.71</v>
      </c>
      <c r="L357">
        <v>17646</v>
      </c>
      <c r="M357">
        <v>21.71</v>
      </c>
      <c r="N357" s="1" t="s">
        <v>386</v>
      </c>
    </row>
    <row r="358" spans="1:14" x14ac:dyDescent="0.25">
      <c r="A358">
        <v>2023</v>
      </c>
      <c r="B358">
        <v>6</v>
      </c>
      <c r="C358" t="s">
        <v>126</v>
      </c>
      <c r="D358" t="str">
        <f t="shared" si="5"/>
        <v>Jun</v>
      </c>
      <c r="E358">
        <v>2</v>
      </c>
      <c r="F358" t="s">
        <v>28</v>
      </c>
      <c r="G358" t="s">
        <v>26</v>
      </c>
      <c r="H358">
        <v>1733</v>
      </c>
      <c r="I358">
        <v>2290</v>
      </c>
      <c r="J358">
        <v>27560.1</v>
      </c>
      <c r="K358">
        <v>21164.1</v>
      </c>
      <c r="L358">
        <v>6396</v>
      </c>
      <c r="M358">
        <v>22.68</v>
      </c>
      <c r="N358" s="1" t="s">
        <v>387</v>
      </c>
    </row>
    <row r="359" spans="1:14" x14ac:dyDescent="0.25">
      <c r="A359">
        <v>2023</v>
      </c>
      <c r="B359">
        <v>6</v>
      </c>
      <c r="C359" t="s">
        <v>126</v>
      </c>
      <c r="D359" t="str">
        <f t="shared" si="5"/>
        <v>Jun</v>
      </c>
      <c r="E359">
        <v>2</v>
      </c>
      <c r="F359" t="s">
        <v>17</v>
      </c>
      <c r="G359" t="s">
        <v>26</v>
      </c>
      <c r="H359">
        <v>1262</v>
      </c>
      <c r="I359">
        <v>1504</v>
      </c>
      <c r="J359">
        <v>26783.96</v>
      </c>
      <c r="K359">
        <v>16042.96</v>
      </c>
      <c r="L359">
        <v>10741</v>
      </c>
      <c r="M359">
        <v>42.38</v>
      </c>
      <c r="N359" s="1" t="s">
        <v>388</v>
      </c>
    </row>
    <row r="360" spans="1:14" x14ac:dyDescent="0.25">
      <c r="A360">
        <v>2023</v>
      </c>
      <c r="B360">
        <v>6</v>
      </c>
      <c r="C360" t="s">
        <v>126</v>
      </c>
      <c r="D360" t="str">
        <f t="shared" si="5"/>
        <v>Jun</v>
      </c>
      <c r="E360">
        <v>2</v>
      </c>
      <c r="F360" t="s">
        <v>28</v>
      </c>
      <c r="G360" t="s">
        <v>15</v>
      </c>
      <c r="H360">
        <v>506</v>
      </c>
      <c r="I360">
        <v>736</v>
      </c>
      <c r="J360">
        <v>8771.64</v>
      </c>
      <c r="K360">
        <v>6999.64</v>
      </c>
      <c r="L360">
        <v>1772</v>
      </c>
      <c r="M360">
        <v>19.82</v>
      </c>
      <c r="N360" s="1" t="s">
        <v>389</v>
      </c>
    </row>
    <row r="361" spans="1:14" x14ac:dyDescent="0.25">
      <c r="A361">
        <v>2023</v>
      </c>
      <c r="B361">
        <v>6</v>
      </c>
      <c r="C361" t="s">
        <v>126</v>
      </c>
      <c r="D361" t="str">
        <f t="shared" si="5"/>
        <v>Jun</v>
      </c>
      <c r="E361">
        <v>2</v>
      </c>
      <c r="F361" t="s">
        <v>23</v>
      </c>
      <c r="G361" t="s">
        <v>26</v>
      </c>
      <c r="H361">
        <v>2872</v>
      </c>
      <c r="I361">
        <v>3313</v>
      </c>
      <c r="J361">
        <v>61036.87</v>
      </c>
      <c r="K361">
        <v>47978.87</v>
      </c>
      <c r="L361">
        <v>13058</v>
      </c>
      <c r="M361">
        <v>24.74</v>
      </c>
      <c r="N361" s="1" t="s">
        <v>390</v>
      </c>
    </row>
    <row r="362" spans="1:14" x14ac:dyDescent="0.25">
      <c r="A362">
        <v>2023</v>
      </c>
      <c r="B362">
        <v>7</v>
      </c>
      <c r="C362" t="s">
        <v>147</v>
      </c>
      <c r="D362" t="str">
        <f t="shared" si="5"/>
        <v>Jul</v>
      </c>
      <c r="E362">
        <v>3</v>
      </c>
      <c r="F362" t="s">
        <v>17</v>
      </c>
      <c r="G362" t="s">
        <v>19</v>
      </c>
      <c r="H362">
        <v>2148</v>
      </c>
      <c r="I362">
        <v>2574</v>
      </c>
      <c r="J362">
        <v>45493.26</v>
      </c>
      <c r="K362">
        <v>26982.26</v>
      </c>
      <c r="L362">
        <v>18511</v>
      </c>
      <c r="M362">
        <v>43.19</v>
      </c>
      <c r="N362" s="1" t="s">
        <v>391</v>
      </c>
    </row>
    <row r="363" spans="1:14" x14ac:dyDescent="0.25">
      <c r="A363">
        <v>2023</v>
      </c>
      <c r="B363">
        <v>7</v>
      </c>
      <c r="C363" t="s">
        <v>147</v>
      </c>
      <c r="D363" t="str">
        <f t="shared" si="5"/>
        <v>Jul</v>
      </c>
      <c r="E363">
        <v>3</v>
      </c>
      <c r="F363" t="s">
        <v>14</v>
      </c>
      <c r="G363" t="s">
        <v>21</v>
      </c>
      <c r="H363">
        <v>629</v>
      </c>
      <c r="I363">
        <v>736</v>
      </c>
      <c r="J363">
        <v>8667.64</v>
      </c>
      <c r="K363">
        <v>6320.64</v>
      </c>
      <c r="L363">
        <v>2347</v>
      </c>
      <c r="M363">
        <v>34.520000000000003</v>
      </c>
      <c r="N363" s="1" t="s">
        <v>392</v>
      </c>
    </row>
    <row r="364" spans="1:14" x14ac:dyDescent="0.25">
      <c r="A364">
        <v>2023</v>
      </c>
      <c r="B364">
        <v>7</v>
      </c>
      <c r="C364" t="s">
        <v>147</v>
      </c>
      <c r="D364" t="str">
        <f t="shared" si="5"/>
        <v>Jul</v>
      </c>
      <c r="E364">
        <v>3</v>
      </c>
      <c r="F364" t="s">
        <v>23</v>
      </c>
      <c r="G364" t="s">
        <v>19</v>
      </c>
      <c r="H364">
        <v>7365</v>
      </c>
      <c r="I364">
        <v>8993</v>
      </c>
      <c r="J364">
        <v>160776.07</v>
      </c>
      <c r="K364">
        <v>130066.07</v>
      </c>
      <c r="L364">
        <v>30710</v>
      </c>
      <c r="M364">
        <v>22.67</v>
      </c>
      <c r="N364" s="1" t="s">
        <v>393</v>
      </c>
    </row>
    <row r="365" spans="1:14" x14ac:dyDescent="0.25">
      <c r="A365">
        <v>2023</v>
      </c>
      <c r="B365">
        <v>7</v>
      </c>
      <c r="C365" t="s">
        <v>147</v>
      </c>
      <c r="D365" t="str">
        <f t="shared" si="5"/>
        <v>Jul</v>
      </c>
      <c r="E365">
        <v>3</v>
      </c>
      <c r="F365" t="s">
        <v>25</v>
      </c>
      <c r="G365" t="s">
        <v>15</v>
      </c>
      <c r="H365">
        <v>1394</v>
      </c>
      <c r="I365">
        <v>2057</v>
      </c>
      <c r="J365">
        <v>19236.43</v>
      </c>
      <c r="K365">
        <v>13177.43</v>
      </c>
      <c r="L365">
        <v>6059</v>
      </c>
      <c r="M365">
        <v>34.06</v>
      </c>
      <c r="N365" s="1" t="s">
        <v>394</v>
      </c>
    </row>
    <row r="366" spans="1:14" x14ac:dyDescent="0.25">
      <c r="A366">
        <v>2023</v>
      </c>
      <c r="B366">
        <v>7</v>
      </c>
      <c r="C366" t="s">
        <v>147</v>
      </c>
      <c r="D366" t="str">
        <f t="shared" si="5"/>
        <v>Jul</v>
      </c>
      <c r="E366">
        <v>3</v>
      </c>
      <c r="F366" t="s">
        <v>28</v>
      </c>
      <c r="G366" t="s">
        <v>15</v>
      </c>
      <c r="H366">
        <v>840</v>
      </c>
      <c r="I366">
        <v>1252</v>
      </c>
      <c r="J366">
        <v>15428.48</v>
      </c>
      <c r="K366">
        <v>12423.48</v>
      </c>
      <c r="L366">
        <v>3005</v>
      </c>
      <c r="M366">
        <v>19.32</v>
      </c>
      <c r="N366" s="1" t="s">
        <v>395</v>
      </c>
    </row>
    <row r="367" spans="1:14" x14ac:dyDescent="0.25">
      <c r="A367">
        <v>2023</v>
      </c>
      <c r="B367">
        <v>7</v>
      </c>
      <c r="C367" t="s">
        <v>147</v>
      </c>
      <c r="D367" t="str">
        <f t="shared" si="5"/>
        <v>Jul</v>
      </c>
      <c r="E367">
        <v>3</v>
      </c>
      <c r="F367" t="s">
        <v>25</v>
      </c>
      <c r="G367" t="s">
        <v>19</v>
      </c>
      <c r="H367">
        <v>8980</v>
      </c>
      <c r="I367">
        <v>13135</v>
      </c>
      <c r="J367">
        <v>115671.65</v>
      </c>
      <c r="K367">
        <v>86503.65</v>
      </c>
      <c r="L367">
        <v>29168</v>
      </c>
      <c r="M367">
        <v>31.52</v>
      </c>
      <c r="N367" s="1" t="s">
        <v>396</v>
      </c>
    </row>
    <row r="368" spans="1:14" x14ac:dyDescent="0.25">
      <c r="A368">
        <v>2023</v>
      </c>
      <c r="B368">
        <v>7</v>
      </c>
      <c r="C368" t="s">
        <v>147</v>
      </c>
      <c r="D368" t="str">
        <f t="shared" si="5"/>
        <v>Jul</v>
      </c>
      <c r="E368">
        <v>3</v>
      </c>
      <c r="F368" t="s">
        <v>17</v>
      </c>
      <c r="G368" t="s">
        <v>21</v>
      </c>
      <c r="H368">
        <v>352</v>
      </c>
      <c r="I368">
        <v>453</v>
      </c>
      <c r="J368">
        <v>7415.47</v>
      </c>
      <c r="K368">
        <v>3976.47</v>
      </c>
      <c r="L368">
        <v>3439</v>
      </c>
      <c r="M368">
        <v>48.31</v>
      </c>
      <c r="N368" s="1" t="s">
        <v>397</v>
      </c>
    </row>
    <row r="369" spans="1:14" x14ac:dyDescent="0.25">
      <c r="A369">
        <v>2023</v>
      </c>
      <c r="B369">
        <v>7</v>
      </c>
      <c r="C369" t="s">
        <v>147</v>
      </c>
      <c r="D369" t="str">
        <f t="shared" si="5"/>
        <v>Jul</v>
      </c>
      <c r="E369">
        <v>3</v>
      </c>
      <c r="F369" t="s">
        <v>14</v>
      </c>
      <c r="G369" t="s">
        <v>15</v>
      </c>
      <c r="H369">
        <v>712</v>
      </c>
      <c r="I369">
        <v>1056</v>
      </c>
      <c r="J369">
        <v>12705.44</v>
      </c>
      <c r="K369">
        <v>8890.44</v>
      </c>
      <c r="L369">
        <v>3815</v>
      </c>
      <c r="M369">
        <v>36.86</v>
      </c>
      <c r="N369" s="1" t="s">
        <v>398</v>
      </c>
    </row>
    <row r="370" spans="1:14" x14ac:dyDescent="0.25">
      <c r="A370">
        <v>2023</v>
      </c>
      <c r="B370">
        <v>7</v>
      </c>
      <c r="C370" t="s">
        <v>147</v>
      </c>
      <c r="D370" t="str">
        <f t="shared" si="5"/>
        <v>Jul</v>
      </c>
      <c r="E370">
        <v>3</v>
      </c>
      <c r="F370" t="s">
        <v>25</v>
      </c>
      <c r="G370" t="s">
        <v>21</v>
      </c>
      <c r="H370">
        <v>1724</v>
      </c>
      <c r="I370">
        <v>2611</v>
      </c>
      <c r="J370">
        <v>22327.89</v>
      </c>
      <c r="K370">
        <v>15427.89</v>
      </c>
      <c r="L370">
        <v>6900</v>
      </c>
      <c r="M370">
        <v>35.270000000000003</v>
      </c>
      <c r="N370" s="1" t="s">
        <v>399</v>
      </c>
    </row>
    <row r="371" spans="1:14" x14ac:dyDescent="0.25">
      <c r="A371">
        <v>2023</v>
      </c>
      <c r="B371">
        <v>7</v>
      </c>
      <c r="C371" t="s">
        <v>147</v>
      </c>
      <c r="D371" t="str">
        <f t="shared" si="5"/>
        <v>Jul</v>
      </c>
      <c r="E371">
        <v>3</v>
      </c>
      <c r="F371" t="s">
        <v>28</v>
      </c>
      <c r="G371" t="s">
        <v>19</v>
      </c>
      <c r="H371">
        <v>4726</v>
      </c>
      <c r="I371">
        <v>5956</v>
      </c>
      <c r="J371">
        <v>73555.44</v>
      </c>
      <c r="K371">
        <v>57063.44</v>
      </c>
      <c r="L371">
        <v>16492</v>
      </c>
      <c r="M371">
        <v>21.86</v>
      </c>
      <c r="N371" s="1" t="s">
        <v>400</v>
      </c>
    </row>
    <row r="372" spans="1:14" x14ac:dyDescent="0.25">
      <c r="A372">
        <v>2023</v>
      </c>
      <c r="B372">
        <v>7</v>
      </c>
      <c r="C372" t="s">
        <v>147</v>
      </c>
      <c r="D372" t="str">
        <f t="shared" si="5"/>
        <v>Jul</v>
      </c>
      <c r="E372">
        <v>3</v>
      </c>
      <c r="F372" t="s">
        <v>17</v>
      </c>
      <c r="G372" t="s">
        <v>15</v>
      </c>
      <c r="H372">
        <v>397</v>
      </c>
      <c r="I372">
        <v>457</v>
      </c>
      <c r="J372">
        <v>8284.43</v>
      </c>
      <c r="K372">
        <v>5054.43</v>
      </c>
      <c r="L372">
        <v>3230</v>
      </c>
      <c r="M372">
        <v>42.72</v>
      </c>
      <c r="N372" s="1" t="s">
        <v>401</v>
      </c>
    </row>
    <row r="373" spans="1:14" x14ac:dyDescent="0.25">
      <c r="A373">
        <v>2023</v>
      </c>
      <c r="B373">
        <v>7</v>
      </c>
      <c r="C373" t="s">
        <v>147</v>
      </c>
      <c r="D373" t="str">
        <f t="shared" si="5"/>
        <v>Jul</v>
      </c>
      <c r="E373">
        <v>3</v>
      </c>
      <c r="F373" t="s">
        <v>23</v>
      </c>
      <c r="G373" t="s">
        <v>15</v>
      </c>
      <c r="H373">
        <v>1381</v>
      </c>
      <c r="I373">
        <v>1788</v>
      </c>
      <c r="J373">
        <v>36567.120000000003</v>
      </c>
      <c r="K373">
        <v>29482.12</v>
      </c>
      <c r="L373">
        <v>7085</v>
      </c>
      <c r="M373">
        <v>23.49</v>
      </c>
      <c r="N373" s="1" t="s">
        <v>402</v>
      </c>
    </row>
    <row r="374" spans="1:14" x14ac:dyDescent="0.25">
      <c r="A374">
        <v>2023</v>
      </c>
      <c r="B374">
        <v>7</v>
      </c>
      <c r="C374" t="s">
        <v>147</v>
      </c>
      <c r="D374" t="str">
        <f t="shared" si="5"/>
        <v>Jul</v>
      </c>
      <c r="E374">
        <v>3</v>
      </c>
      <c r="F374" t="s">
        <v>17</v>
      </c>
      <c r="G374" t="s">
        <v>26</v>
      </c>
      <c r="H374">
        <v>1228</v>
      </c>
      <c r="I374">
        <v>1601</v>
      </c>
      <c r="J374">
        <v>27403.99</v>
      </c>
      <c r="K374">
        <v>15616.99</v>
      </c>
      <c r="L374">
        <v>11787</v>
      </c>
      <c r="M374">
        <v>44.11</v>
      </c>
      <c r="N374" s="1" t="s">
        <v>403</v>
      </c>
    </row>
    <row r="375" spans="1:14" x14ac:dyDescent="0.25">
      <c r="A375">
        <v>2023</v>
      </c>
      <c r="B375">
        <v>7</v>
      </c>
      <c r="C375" t="s">
        <v>147</v>
      </c>
      <c r="D375" t="str">
        <f t="shared" si="5"/>
        <v>Jul</v>
      </c>
      <c r="E375">
        <v>3</v>
      </c>
      <c r="F375" t="s">
        <v>23</v>
      </c>
      <c r="G375" t="s">
        <v>21</v>
      </c>
      <c r="H375">
        <v>1430</v>
      </c>
      <c r="I375">
        <v>1814</v>
      </c>
      <c r="J375">
        <v>33311.86</v>
      </c>
      <c r="K375">
        <v>26265.86</v>
      </c>
      <c r="L375">
        <v>7046</v>
      </c>
      <c r="M375">
        <v>26.25</v>
      </c>
      <c r="N375" s="1" t="s">
        <v>404</v>
      </c>
    </row>
    <row r="376" spans="1:14" x14ac:dyDescent="0.25">
      <c r="A376">
        <v>2023</v>
      </c>
      <c r="B376">
        <v>7</v>
      </c>
      <c r="C376" t="s">
        <v>147</v>
      </c>
      <c r="D376" t="str">
        <f t="shared" si="5"/>
        <v>Jul</v>
      </c>
      <c r="E376">
        <v>3</v>
      </c>
      <c r="F376" t="s">
        <v>28</v>
      </c>
      <c r="G376" t="s">
        <v>21</v>
      </c>
      <c r="H376">
        <v>811</v>
      </c>
      <c r="I376">
        <v>1024</v>
      </c>
      <c r="J376">
        <v>12504.76</v>
      </c>
      <c r="K376">
        <v>9681.76</v>
      </c>
      <c r="L376">
        <v>2823</v>
      </c>
      <c r="M376">
        <v>21.61</v>
      </c>
      <c r="N376" s="1" t="s">
        <v>405</v>
      </c>
    </row>
    <row r="377" spans="1:14" x14ac:dyDescent="0.25">
      <c r="A377">
        <v>2023</v>
      </c>
      <c r="B377">
        <v>7</v>
      </c>
      <c r="C377" t="s">
        <v>147</v>
      </c>
      <c r="D377" t="str">
        <f t="shared" si="5"/>
        <v>Jul</v>
      </c>
      <c r="E377">
        <v>3</v>
      </c>
      <c r="F377" t="s">
        <v>28</v>
      </c>
      <c r="G377" t="s">
        <v>26</v>
      </c>
      <c r="H377">
        <v>1772</v>
      </c>
      <c r="I377">
        <v>2151</v>
      </c>
      <c r="J377">
        <v>27442.49</v>
      </c>
      <c r="K377">
        <v>20939.490000000002</v>
      </c>
      <c r="L377">
        <v>6503</v>
      </c>
      <c r="M377">
        <v>22.61</v>
      </c>
      <c r="N377" s="1" t="s">
        <v>406</v>
      </c>
    </row>
    <row r="378" spans="1:14" x14ac:dyDescent="0.25">
      <c r="A378">
        <v>2023</v>
      </c>
      <c r="B378">
        <v>7</v>
      </c>
      <c r="C378" t="s">
        <v>147</v>
      </c>
      <c r="D378" t="str">
        <f t="shared" si="5"/>
        <v>Jul</v>
      </c>
      <c r="E378">
        <v>3</v>
      </c>
      <c r="F378" t="s">
        <v>14</v>
      </c>
      <c r="G378" t="s">
        <v>26</v>
      </c>
      <c r="H378">
        <v>1926</v>
      </c>
      <c r="I378">
        <v>2209</v>
      </c>
      <c r="J378">
        <v>23707.91</v>
      </c>
      <c r="K378">
        <v>16183.91</v>
      </c>
      <c r="L378">
        <v>7524</v>
      </c>
      <c r="M378">
        <v>37.18</v>
      </c>
      <c r="N378" s="1" t="s">
        <v>407</v>
      </c>
    </row>
    <row r="379" spans="1:14" x14ac:dyDescent="0.25">
      <c r="A379">
        <v>2023</v>
      </c>
      <c r="B379">
        <v>7</v>
      </c>
      <c r="C379" t="s">
        <v>147</v>
      </c>
      <c r="D379" t="str">
        <f t="shared" si="5"/>
        <v>Jul</v>
      </c>
      <c r="E379">
        <v>3</v>
      </c>
      <c r="F379" t="s">
        <v>14</v>
      </c>
      <c r="G379" t="s">
        <v>19</v>
      </c>
      <c r="H379">
        <v>4538</v>
      </c>
      <c r="I379">
        <v>5441</v>
      </c>
      <c r="J379">
        <v>62191.59</v>
      </c>
      <c r="K379">
        <v>43921.59</v>
      </c>
      <c r="L379">
        <v>18270</v>
      </c>
      <c r="M379">
        <v>35.5</v>
      </c>
      <c r="N379" s="1" t="s">
        <v>408</v>
      </c>
    </row>
    <row r="380" spans="1:14" x14ac:dyDescent="0.25">
      <c r="A380">
        <v>2023</v>
      </c>
      <c r="B380">
        <v>7</v>
      </c>
      <c r="C380" t="s">
        <v>147</v>
      </c>
      <c r="D380" t="str">
        <f t="shared" si="5"/>
        <v>Jul</v>
      </c>
      <c r="E380">
        <v>3</v>
      </c>
      <c r="F380" t="s">
        <v>25</v>
      </c>
      <c r="G380" t="s">
        <v>26</v>
      </c>
      <c r="H380">
        <v>3335</v>
      </c>
      <c r="I380">
        <v>4699</v>
      </c>
      <c r="J380">
        <v>49627.01</v>
      </c>
      <c r="K380">
        <v>36954.01</v>
      </c>
      <c r="L380">
        <v>12673</v>
      </c>
      <c r="M380">
        <v>30.17</v>
      </c>
      <c r="N380" s="1" t="s">
        <v>409</v>
      </c>
    </row>
    <row r="381" spans="1:14" x14ac:dyDescent="0.25">
      <c r="A381">
        <v>2023</v>
      </c>
      <c r="B381">
        <v>7</v>
      </c>
      <c r="C381" t="s">
        <v>147</v>
      </c>
      <c r="D381" t="str">
        <f t="shared" si="5"/>
        <v>Jul</v>
      </c>
      <c r="E381">
        <v>3</v>
      </c>
      <c r="F381" t="s">
        <v>23</v>
      </c>
      <c r="G381" t="s">
        <v>26</v>
      </c>
      <c r="H381">
        <v>2820</v>
      </c>
      <c r="I381">
        <v>3607</v>
      </c>
      <c r="J381">
        <v>66029.929999999993</v>
      </c>
      <c r="K381">
        <v>53609.93</v>
      </c>
      <c r="L381">
        <v>12420</v>
      </c>
      <c r="M381">
        <v>22.5</v>
      </c>
      <c r="N381" s="1" t="s">
        <v>410</v>
      </c>
    </row>
    <row r="382" spans="1:14" x14ac:dyDescent="0.25">
      <c r="A382">
        <v>2023</v>
      </c>
      <c r="B382">
        <v>8</v>
      </c>
      <c r="C382" t="s">
        <v>167</v>
      </c>
      <c r="D382" t="str">
        <f t="shared" si="5"/>
        <v>Aug</v>
      </c>
      <c r="E382">
        <v>3</v>
      </c>
      <c r="F382" t="s">
        <v>14</v>
      </c>
      <c r="G382" t="s">
        <v>15</v>
      </c>
      <c r="H382">
        <v>682</v>
      </c>
      <c r="I382">
        <v>904</v>
      </c>
      <c r="J382">
        <v>9831.9599999999991</v>
      </c>
      <c r="K382">
        <v>7008.96</v>
      </c>
      <c r="L382">
        <v>2823</v>
      </c>
      <c r="M382">
        <v>34.96</v>
      </c>
      <c r="N382" s="1" t="s">
        <v>411</v>
      </c>
    </row>
    <row r="383" spans="1:14" x14ac:dyDescent="0.25">
      <c r="A383">
        <v>2023</v>
      </c>
      <c r="B383">
        <v>8</v>
      </c>
      <c r="C383" t="s">
        <v>167</v>
      </c>
      <c r="D383" t="str">
        <f t="shared" si="5"/>
        <v>Aug</v>
      </c>
      <c r="E383">
        <v>3</v>
      </c>
      <c r="F383" t="s">
        <v>23</v>
      </c>
      <c r="G383" t="s">
        <v>26</v>
      </c>
      <c r="H383">
        <v>2335</v>
      </c>
      <c r="I383">
        <v>2670</v>
      </c>
      <c r="J383">
        <v>46773.3</v>
      </c>
      <c r="K383">
        <v>37032.300000000003</v>
      </c>
      <c r="L383">
        <v>9741</v>
      </c>
      <c r="M383">
        <v>24.15</v>
      </c>
      <c r="N383" s="1" t="s">
        <v>412</v>
      </c>
    </row>
    <row r="384" spans="1:14" x14ac:dyDescent="0.25">
      <c r="A384">
        <v>2023</v>
      </c>
      <c r="B384">
        <v>8</v>
      </c>
      <c r="C384" t="s">
        <v>167</v>
      </c>
      <c r="D384" t="str">
        <f t="shared" si="5"/>
        <v>Aug</v>
      </c>
      <c r="E384">
        <v>3</v>
      </c>
      <c r="F384" t="s">
        <v>25</v>
      </c>
      <c r="G384" t="s">
        <v>19</v>
      </c>
      <c r="H384">
        <v>7536</v>
      </c>
      <c r="I384">
        <v>10863</v>
      </c>
      <c r="J384">
        <v>93549.37</v>
      </c>
      <c r="K384">
        <v>66829.37</v>
      </c>
      <c r="L384">
        <v>26720</v>
      </c>
      <c r="M384">
        <v>32.97</v>
      </c>
      <c r="N384" s="1" t="s">
        <v>413</v>
      </c>
    </row>
    <row r="385" spans="1:14" x14ac:dyDescent="0.25">
      <c r="A385">
        <v>2023</v>
      </c>
      <c r="B385">
        <v>8</v>
      </c>
      <c r="C385" t="s">
        <v>167</v>
      </c>
      <c r="D385" t="str">
        <f t="shared" si="5"/>
        <v>Aug</v>
      </c>
      <c r="E385">
        <v>3</v>
      </c>
      <c r="F385" t="s">
        <v>17</v>
      </c>
      <c r="G385" t="s">
        <v>26</v>
      </c>
      <c r="H385">
        <v>1096</v>
      </c>
      <c r="I385">
        <v>1229</v>
      </c>
      <c r="J385">
        <v>21549.71</v>
      </c>
      <c r="K385">
        <v>12668.71</v>
      </c>
      <c r="L385">
        <v>8881</v>
      </c>
      <c r="M385">
        <v>44.02</v>
      </c>
      <c r="N385" s="1" t="s">
        <v>414</v>
      </c>
    </row>
    <row r="386" spans="1:14" x14ac:dyDescent="0.25">
      <c r="A386">
        <v>2023</v>
      </c>
      <c r="B386">
        <v>8</v>
      </c>
      <c r="C386" t="s">
        <v>167</v>
      </c>
      <c r="D386" t="str">
        <f t="shared" ref="D386:D421" si="6">LEFT(C386,3)</f>
        <v>Aug</v>
      </c>
      <c r="E386">
        <v>3</v>
      </c>
      <c r="F386" t="s">
        <v>28</v>
      </c>
      <c r="G386" t="s">
        <v>19</v>
      </c>
      <c r="H386">
        <v>3796</v>
      </c>
      <c r="I386">
        <v>4722</v>
      </c>
      <c r="J386">
        <v>59408.78</v>
      </c>
      <c r="K386">
        <v>45306.78</v>
      </c>
      <c r="L386">
        <v>14102</v>
      </c>
      <c r="M386">
        <v>23.12</v>
      </c>
      <c r="N386" s="1" t="s">
        <v>415</v>
      </c>
    </row>
    <row r="387" spans="1:14" x14ac:dyDescent="0.25">
      <c r="A387">
        <v>2023</v>
      </c>
      <c r="B387">
        <v>8</v>
      </c>
      <c r="C387" t="s">
        <v>167</v>
      </c>
      <c r="D387" t="str">
        <f t="shared" si="6"/>
        <v>Aug</v>
      </c>
      <c r="E387">
        <v>3</v>
      </c>
      <c r="F387" t="s">
        <v>17</v>
      </c>
      <c r="G387" t="s">
        <v>15</v>
      </c>
      <c r="H387">
        <v>335</v>
      </c>
      <c r="I387">
        <v>385</v>
      </c>
      <c r="J387">
        <v>6296.15</v>
      </c>
      <c r="K387">
        <v>3385.15</v>
      </c>
      <c r="L387">
        <v>2911</v>
      </c>
      <c r="M387">
        <v>47.19</v>
      </c>
      <c r="N387" s="1" t="s">
        <v>416</v>
      </c>
    </row>
    <row r="388" spans="1:14" x14ac:dyDescent="0.25">
      <c r="A388">
        <v>2023</v>
      </c>
      <c r="B388">
        <v>8</v>
      </c>
      <c r="C388" t="s">
        <v>167</v>
      </c>
      <c r="D388" t="str">
        <f t="shared" si="6"/>
        <v>Aug</v>
      </c>
      <c r="E388">
        <v>3</v>
      </c>
      <c r="F388" t="s">
        <v>25</v>
      </c>
      <c r="G388" t="s">
        <v>26</v>
      </c>
      <c r="H388">
        <v>2282</v>
      </c>
      <c r="I388">
        <v>3444</v>
      </c>
      <c r="J388">
        <v>31737.56</v>
      </c>
      <c r="K388">
        <v>23005.56</v>
      </c>
      <c r="L388">
        <v>8732</v>
      </c>
      <c r="M388">
        <v>32.47</v>
      </c>
      <c r="N388" s="1" t="s">
        <v>417</v>
      </c>
    </row>
    <row r="389" spans="1:14" x14ac:dyDescent="0.25">
      <c r="A389">
        <v>2023</v>
      </c>
      <c r="B389">
        <v>8</v>
      </c>
      <c r="C389" t="s">
        <v>167</v>
      </c>
      <c r="D389" t="str">
        <f t="shared" si="6"/>
        <v>Aug</v>
      </c>
      <c r="E389">
        <v>3</v>
      </c>
      <c r="F389" t="s">
        <v>23</v>
      </c>
      <c r="G389" t="s">
        <v>21</v>
      </c>
      <c r="H389">
        <v>1319</v>
      </c>
      <c r="I389">
        <v>1526</v>
      </c>
      <c r="J389">
        <v>28642.74</v>
      </c>
      <c r="K389">
        <v>22613.74</v>
      </c>
      <c r="L389">
        <v>6029</v>
      </c>
      <c r="M389">
        <v>24.93</v>
      </c>
      <c r="N389" s="1" t="s">
        <v>418</v>
      </c>
    </row>
    <row r="390" spans="1:14" x14ac:dyDescent="0.25">
      <c r="A390">
        <v>2023</v>
      </c>
      <c r="B390">
        <v>8</v>
      </c>
      <c r="C390" t="s">
        <v>167</v>
      </c>
      <c r="D390" t="str">
        <f t="shared" si="6"/>
        <v>Aug</v>
      </c>
      <c r="E390">
        <v>3</v>
      </c>
      <c r="F390" t="s">
        <v>25</v>
      </c>
      <c r="G390" t="s">
        <v>21</v>
      </c>
      <c r="H390">
        <v>1493</v>
      </c>
      <c r="I390">
        <v>2055</v>
      </c>
      <c r="J390">
        <v>17083.45</v>
      </c>
      <c r="K390">
        <v>11496.45</v>
      </c>
      <c r="L390">
        <v>5587</v>
      </c>
      <c r="M390">
        <v>37.04</v>
      </c>
      <c r="N390" s="1" t="s">
        <v>419</v>
      </c>
    </row>
    <row r="391" spans="1:14" x14ac:dyDescent="0.25">
      <c r="A391">
        <v>2023</v>
      </c>
      <c r="B391">
        <v>8</v>
      </c>
      <c r="C391" t="s">
        <v>167</v>
      </c>
      <c r="D391" t="str">
        <f t="shared" si="6"/>
        <v>Aug</v>
      </c>
      <c r="E391">
        <v>3</v>
      </c>
      <c r="F391" t="s">
        <v>28</v>
      </c>
      <c r="G391" t="s">
        <v>15</v>
      </c>
      <c r="H391">
        <v>568</v>
      </c>
      <c r="I391">
        <v>637</v>
      </c>
      <c r="J391">
        <v>8313.6299999999992</v>
      </c>
      <c r="K391">
        <v>6396.63</v>
      </c>
      <c r="L391">
        <v>1917</v>
      </c>
      <c r="M391">
        <v>21.77</v>
      </c>
      <c r="N391" s="1" t="s">
        <v>420</v>
      </c>
    </row>
    <row r="392" spans="1:14" x14ac:dyDescent="0.25">
      <c r="A392">
        <v>2023</v>
      </c>
      <c r="B392">
        <v>8</v>
      </c>
      <c r="C392" t="s">
        <v>167</v>
      </c>
      <c r="D392" t="str">
        <f t="shared" si="6"/>
        <v>Aug</v>
      </c>
      <c r="E392">
        <v>3</v>
      </c>
      <c r="F392" t="s">
        <v>25</v>
      </c>
      <c r="G392" t="s">
        <v>15</v>
      </c>
      <c r="H392">
        <v>979</v>
      </c>
      <c r="I392">
        <v>1475</v>
      </c>
      <c r="J392">
        <v>12925.25</v>
      </c>
      <c r="K392">
        <v>9361.25</v>
      </c>
      <c r="L392">
        <v>3564</v>
      </c>
      <c r="M392">
        <v>31</v>
      </c>
      <c r="N392" s="1" t="s">
        <v>421</v>
      </c>
    </row>
    <row r="393" spans="1:14" x14ac:dyDescent="0.25">
      <c r="A393">
        <v>2023</v>
      </c>
      <c r="B393">
        <v>8</v>
      </c>
      <c r="C393" t="s">
        <v>167</v>
      </c>
      <c r="D393" t="str">
        <f t="shared" si="6"/>
        <v>Aug</v>
      </c>
      <c r="E393">
        <v>3</v>
      </c>
      <c r="F393" t="s">
        <v>28</v>
      </c>
      <c r="G393" t="s">
        <v>21</v>
      </c>
      <c r="H393">
        <v>640</v>
      </c>
      <c r="I393">
        <v>738</v>
      </c>
      <c r="J393">
        <v>10161.620000000001</v>
      </c>
      <c r="K393">
        <v>7644.62</v>
      </c>
      <c r="L393">
        <v>2517</v>
      </c>
      <c r="M393">
        <v>23.77</v>
      </c>
      <c r="N393" s="1" t="s">
        <v>422</v>
      </c>
    </row>
    <row r="394" spans="1:14" x14ac:dyDescent="0.25">
      <c r="A394">
        <v>2023</v>
      </c>
      <c r="B394">
        <v>8</v>
      </c>
      <c r="C394" t="s">
        <v>167</v>
      </c>
      <c r="D394" t="str">
        <f t="shared" si="6"/>
        <v>Aug</v>
      </c>
      <c r="E394">
        <v>3</v>
      </c>
      <c r="F394" t="s">
        <v>14</v>
      </c>
      <c r="G394" t="s">
        <v>26</v>
      </c>
      <c r="H394">
        <v>1433</v>
      </c>
      <c r="I394">
        <v>1522</v>
      </c>
      <c r="J394">
        <v>16635.78</v>
      </c>
      <c r="K394">
        <v>11875.78</v>
      </c>
      <c r="L394">
        <v>4760</v>
      </c>
      <c r="M394">
        <v>34.94</v>
      </c>
      <c r="N394" s="1" t="s">
        <v>423</v>
      </c>
    </row>
    <row r="395" spans="1:14" x14ac:dyDescent="0.25">
      <c r="A395">
        <v>2023</v>
      </c>
      <c r="B395">
        <v>8</v>
      </c>
      <c r="C395" t="s">
        <v>167</v>
      </c>
      <c r="D395" t="str">
        <f t="shared" si="6"/>
        <v>Aug</v>
      </c>
      <c r="E395">
        <v>3</v>
      </c>
      <c r="F395" t="s">
        <v>28</v>
      </c>
      <c r="G395" t="s">
        <v>26</v>
      </c>
      <c r="H395">
        <v>1409</v>
      </c>
      <c r="I395">
        <v>1644</v>
      </c>
      <c r="J395">
        <v>20879.560000000001</v>
      </c>
      <c r="K395">
        <v>16131.56</v>
      </c>
      <c r="L395">
        <v>4748</v>
      </c>
      <c r="M395">
        <v>21.88</v>
      </c>
      <c r="N395" s="1" t="s">
        <v>424</v>
      </c>
    </row>
    <row r="396" spans="1:14" x14ac:dyDescent="0.25">
      <c r="A396">
        <v>2023</v>
      </c>
      <c r="B396">
        <v>8</v>
      </c>
      <c r="C396" t="s">
        <v>167</v>
      </c>
      <c r="D396" t="str">
        <f t="shared" si="6"/>
        <v>Aug</v>
      </c>
      <c r="E396">
        <v>3</v>
      </c>
      <c r="F396" t="s">
        <v>23</v>
      </c>
      <c r="G396" t="s">
        <v>15</v>
      </c>
      <c r="H396">
        <v>1122</v>
      </c>
      <c r="I396">
        <v>1368</v>
      </c>
      <c r="J396">
        <v>24965.32</v>
      </c>
      <c r="K396">
        <v>20161.32</v>
      </c>
      <c r="L396">
        <v>4804</v>
      </c>
      <c r="M396">
        <v>22.25</v>
      </c>
      <c r="N396" s="1" t="s">
        <v>425</v>
      </c>
    </row>
    <row r="397" spans="1:14" x14ac:dyDescent="0.25">
      <c r="A397">
        <v>2023</v>
      </c>
      <c r="B397">
        <v>8</v>
      </c>
      <c r="C397" t="s">
        <v>167</v>
      </c>
      <c r="D397" t="str">
        <f t="shared" si="6"/>
        <v>Aug</v>
      </c>
      <c r="E397">
        <v>3</v>
      </c>
      <c r="F397" t="s">
        <v>23</v>
      </c>
      <c r="G397" t="s">
        <v>19</v>
      </c>
      <c r="H397">
        <v>6530</v>
      </c>
      <c r="I397">
        <v>7585</v>
      </c>
      <c r="J397">
        <v>135080.15</v>
      </c>
      <c r="K397">
        <v>107799.15</v>
      </c>
      <c r="L397">
        <v>27281</v>
      </c>
      <c r="M397">
        <v>23.65</v>
      </c>
      <c r="N397" s="1" t="s">
        <v>426</v>
      </c>
    </row>
    <row r="398" spans="1:14" x14ac:dyDescent="0.25">
      <c r="A398">
        <v>2023</v>
      </c>
      <c r="B398">
        <v>8</v>
      </c>
      <c r="C398" t="s">
        <v>167</v>
      </c>
      <c r="D398" t="str">
        <f t="shared" si="6"/>
        <v>Aug</v>
      </c>
      <c r="E398">
        <v>3</v>
      </c>
      <c r="F398" t="s">
        <v>14</v>
      </c>
      <c r="G398" t="s">
        <v>19</v>
      </c>
      <c r="H398">
        <v>3594</v>
      </c>
      <c r="I398">
        <v>4334</v>
      </c>
      <c r="J398">
        <v>50972.66</v>
      </c>
      <c r="K398">
        <v>36916.660000000003</v>
      </c>
      <c r="L398">
        <v>14056</v>
      </c>
      <c r="M398">
        <v>33.43</v>
      </c>
      <c r="N398" s="1" t="s">
        <v>427</v>
      </c>
    </row>
    <row r="399" spans="1:14" x14ac:dyDescent="0.25">
      <c r="A399">
        <v>2023</v>
      </c>
      <c r="B399">
        <v>8</v>
      </c>
      <c r="C399" t="s">
        <v>167</v>
      </c>
      <c r="D399" t="str">
        <f t="shared" si="6"/>
        <v>Aug</v>
      </c>
      <c r="E399">
        <v>3</v>
      </c>
      <c r="F399" t="s">
        <v>17</v>
      </c>
      <c r="G399" t="s">
        <v>19</v>
      </c>
      <c r="H399">
        <v>2149</v>
      </c>
      <c r="I399">
        <v>2514</v>
      </c>
      <c r="J399">
        <v>44766.86</v>
      </c>
      <c r="K399">
        <v>26832.86</v>
      </c>
      <c r="L399">
        <v>17934</v>
      </c>
      <c r="M399">
        <v>42.83</v>
      </c>
      <c r="N399" s="1" t="s">
        <v>428</v>
      </c>
    </row>
    <row r="400" spans="1:14" x14ac:dyDescent="0.25">
      <c r="A400">
        <v>2023</v>
      </c>
      <c r="B400">
        <v>8</v>
      </c>
      <c r="C400" t="s">
        <v>167</v>
      </c>
      <c r="D400" t="str">
        <f t="shared" si="6"/>
        <v>Aug</v>
      </c>
      <c r="E400">
        <v>3</v>
      </c>
      <c r="F400" t="s">
        <v>17</v>
      </c>
      <c r="G400" t="s">
        <v>21</v>
      </c>
      <c r="H400">
        <v>563</v>
      </c>
      <c r="I400">
        <v>684</v>
      </c>
      <c r="J400">
        <v>11986.16</v>
      </c>
      <c r="K400">
        <v>7027.16</v>
      </c>
      <c r="L400">
        <v>4959</v>
      </c>
      <c r="M400">
        <v>43.56</v>
      </c>
      <c r="N400" s="1" t="s">
        <v>429</v>
      </c>
    </row>
    <row r="401" spans="1:14" x14ac:dyDescent="0.25">
      <c r="A401">
        <v>2023</v>
      </c>
      <c r="B401">
        <v>8</v>
      </c>
      <c r="C401" t="s">
        <v>167</v>
      </c>
      <c r="D401" t="str">
        <f t="shared" si="6"/>
        <v>Aug</v>
      </c>
      <c r="E401">
        <v>3</v>
      </c>
      <c r="F401" t="s">
        <v>14</v>
      </c>
      <c r="G401" t="s">
        <v>21</v>
      </c>
      <c r="H401">
        <v>718</v>
      </c>
      <c r="I401">
        <v>894</v>
      </c>
      <c r="J401">
        <v>9317.06</v>
      </c>
      <c r="K401">
        <v>6345.06</v>
      </c>
      <c r="L401">
        <v>2972</v>
      </c>
      <c r="M401">
        <v>35.67</v>
      </c>
      <c r="N401" s="1" t="s">
        <v>430</v>
      </c>
    </row>
    <row r="402" spans="1:14" x14ac:dyDescent="0.25">
      <c r="A402">
        <v>2023</v>
      </c>
      <c r="B402">
        <v>9</v>
      </c>
      <c r="C402" t="s">
        <v>187</v>
      </c>
      <c r="D402" t="str">
        <f t="shared" si="6"/>
        <v>Sep</v>
      </c>
      <c r="E402">
        <v>3</v>
      </c>
      <c r="F402" t="s">
        <v>28</v>
      </c>
      <c r="G402" t="s">
        <v>21</v>
      </c>
      <c r="H402">
        <v>846</v>
      </c>
      <c r="I402">
        <v>1082</v>
      </c>
      <c r="J402">
        <v>14348.18</v>
      </c>
      <c r="K402">
        <v>10732.18</v>
      </c>
      <c r="L402">
        <v>3616</v>
      </c>
      <c r="M402">
        <v>24.38</v>
      </c>
      <c r="N402" s="1" t="s">
        <v>431</v>
      </c>
    </row>
    <row r="403" spans="1:14" x14ac:dyDescent="0.25">
      <c r="A403">
        <v>2023</v>
      </c>
      <c r="B403">
        <v>9</v>
      </c>
      <c r="C403" t="s">
        <v>187</v>
      </c>
      <c r="D403" t="str">
        <f t="shared" si="6"/>
        <v>Sep</v>
      </c>
      <c r="E403">
        <v>3</v>
      </c>
      <c r="F403" t="s">
        <v>25</v>
      </c>
      <c r="G403" t="s">
        <v>15</v>
      </c>
      <c r="H403">
        <v>946</v>
      </c>
      <c r="I403">
        <v>1286</v>
      </c>
      <c r="J403">
        <v>10840.14</v>
      </c>
      <c r="K403">
        <v>7559.14</v>
      </c>
      <c r="L403">
        <v>3281</v>
      </c>
      <c r="M403">
        <v>34.479999999999997</v>
      </c>
      <c r="N403" s="1" t="s">
        <v>432</v>
      </c>
    </row>
    <row r="404" spans="1:14" x14ac:dyDescent="0.25">
      <c r="A404">
        <v>2023</v>
      </c>
      <c r="B404">
        <v>9</v>
      </c>
      <c r="C404" t="s">
        <v>187</v>
      </c>
      <c r="D404" t="str">
        <f t="shared" si="6"/>
        <v>Sep</v>
      </c>
      <c r="E404">
        <v>3</v>
      </c>
      <c r="F404" t="s">
        <v>28</v>
      </c>
      <c r="G404" t="s">
        <v>19</v>
      </c>
      <c r="H404">
        <v>3781</v>
      </c>
      <c r="I404">
        <v>4542</v>
      </c>
      <c r="J404">
        <v>61638.58</v>
      </c>
      <c r="K404">
        <v>46365.58</v>
      </c>
      <c r="L404">
        <v>15273</v>
      </c>
      <c r="M404">
        <v>23.96</v>
      </c>
      <c r="N404" s="1" t="s">
        <v>433</v>
      </c>
    </row>
    <row r="405" spans="1:14" x14ac:dyDescent="0.25">
      <c r="A405">
        <v>2023</v>
      </c>
      <c r="B405">
        <v>9</v>
      </c>
      <c r="C405" t="s">
        <v>187</v>
      </c>
      <c r="D405" t="str">
        <f t="shared" si="6"/>
        <v>Sep</v>
      </c>
      <c r="E405">
        <v>3</v>
      </c>
      <c r="F405" t="s">
        <v>14</v>
      </c>
      <c r="G405" t="s">
        <v>21</v>
      </c>
      <c r="H405">
        <v>539</v>
      </c>
      <c r="I405">
        <v>579</v>
      </c>
      <c r="J405">
        <v>7698.21</v>
      </c>
      <c r="K405">
        <v>5888.21</v>
      </c>
      <c r="L405">
        <v>1810</v>
      </c>
      <c r="M405">
        <v>28.1</v>
      </c>
      <c r="N405" s="1" t="s">
        <v>434</v>
      </c>
    </row>
    <row r="406" spans="1:14" x14ac:dyDescent="0.25">
      <c r="A406">
        <v>2023</v>
      </c>
      <c r="B406">
        <v>9</v>
      </c>
      <c r="C406" t="s">
        <v>187</v>
      </c>
      <c r="D406" t="str">
        <f t="shared" si="6"/>
        <v>Sep</v>
      </c>
      <c r="E406">
        <v>3</v>
      </c>
      <c r="F406" t="s">
        <v>25</v>
      </c>
      <c r="G406" t="s">
        <v>19</v>
      </c>
      <c r="H406">
        <v>9665</v>
      </c>
      <c r="I406">
        <v>12913</v>
      </c>
      <c r="J406">
        <v>112502.87</v>
      </c>
      <c r="K406">
        <v>76853.87</v>
      </c>
      <c r="L406">
        <v>35649</v>
      </c>
      <c r="M406">
        <v>36.119999999999997</v>
      </c>
      <c r="N406" s="1" t="s">
        <v>435</v>
      </c>
    </row>
    <row r="407" spans="1:14" x14ac:dyDescent="0.25">
      <c r="A407">
        <v>2023</v>
      </c>
      <c r="B407">
        <v>9</v>
      </c>
      <c r="C407" t="s">
        <v>187</v>
      </c>
      <c r="D407" t="str">
        <f t="shared" si="6"/>
        <v>Sep</v>
      </c>
      <c r="E407">
        <v>3</v>
      </c>
      <c r="F407" t="s">
        <v>23</v>
      </c>
      <c r="G407" t="s">
        <v>15</v>
      </c>
      <c r="H407">
        <v>605</v>
      </c>
      <c r="I407">
        <v>758</v>
      </c>
      <c r="J407">
        <v>16968.419999999998</v>
      </c>
      <c r="K407">
        <v>14313.42</v>
      </c>
      <c r="L407">
        <v>2655</v>
      </c>
      <c r="M407">
        <v>20.69</v>
      </c>
      <c r="N407" s="1" t="s">
        <v>436</v>
      </c>
    </row>
    <row r="408" spans="1:14" x14ac:dyDescent="0.25">
      <c r="A408">
        <v>2023</v>
      </c>
      <c r="B408">
        <v>9</v>
      </c>
      <c r="C408" t="s">
        <v>187</v>
      </c>
      <c r="D408" t="str">
        <f t="shared" si="6"/>
        <v>Sep</v>
      </c>
      <c r="E408">
        <v>3</v>
      </c>
      <c r="F408" t="s">
        <v>17</v>
      </c>
      <c r="G408" t="s">
        <v>21</v>
      </c>
      <c r="H408">
        <v>429</v>
      </c>
      <c r="I408">
        <v>546</v>
      </c>
      <c r="J408">
        <v>9094.5400000000009</v>
      </c>
      <c r="K408">
        <v>4996.54</v>
      </c>
      <c r="L408">
        <v>4098</v>
      </c>
      <c r="M408">
        <v>45.92</v>
      </c>
      <c r="N408" s="1" t="s">
        <v>437</v>
      </c>
    </row>
    <row r="409" spans="1:14" x14ac:dyDescent="0.25">
      <c r="A409">
        <v>2023</v>
      </c>
      <c r="B409">
        <v>9</v>
      </c>
      <c r="C409" t="s">
        <v>187</v>
      </c>
      <c r="D409" t="str">
        <f t="shared" si="6"/>
        <v>Sep</v>
      </c>
      <c r="E409">
        <v>3</v>
      </c>
      <c r="F409" t="s">
        <v>25</v>
      </c>
      <c r="G409" t="s">
        <v>21</v>
      </c>
      <c r="H409">
        <v>1910</v>
      </c>
      <c r="I409">
        <v>2612</v>
      </c>
      <c r="J409">
        <v>22896.880000000001</v>
      </c>
      <c r="K409">
        <v>15370.88</v>
      </c>
      <c r="L409">
        <v>7526</v>
      </c>
      <c r="M409">
        <v>36.76</v>
      </c>
      <c r="N409" s="1" t="s">
        <v>438</v>
      </c>
    </row>
    <row r="410" spans="1:14" x14ac:dyDescent="0.25">
      <c r="A410">
        <v>2023</v>
      </c>
      <c r="B410">
        <v>9</v>
      </c>
      <c r="C410" t="s">
        <v>187</v>
      </c>
      <c r="D410" t="str">
        <f t="shared" si="6"/>
        <v>Sep</v>
      </c>
      <c r="E410">
        <v>3</v>
      </c>
      <c r="F410" t="s">
        <v>14</v>
      </c>
      <c r="G410" t="s">
        <v>26</v>
      </c>
      <c r="H410">
        <v>1367</v>
      </c>
      <c r="I410">
        <v>1598</v>
      </c>
      <c r="J410">
        <v>16917.02</v>
      </c>
      <c r="K410">
        <v>11600.02</v>
      </c>
      <c r="L410">
        <v>5317</v>
      </c>
      <c r="M410">
        <v>35.950000000000003</v>
      </c>
      <c r="N410" s="1" t="s">
        <v>439</v>
      </c>
    </row>
    <row r="411" spans="1:14" x14ac:dyDescent="0.25">
      <c r="A411">
        <v>2023</v>
      </c>
      <c r="B411">
        <v>9</v>
      </c>
      <c r="C411" t="s">
        <v>187</v>
      </c>
      <c r="D411" t="str">
        <f t="shared" si="6"/>
        <v>Sep</v>
      </c>
      <c r="E411">
        <v>3</v>
      </c>
      <c r="F411" t="s">
        <v>23</v>
      </c>
      <c r="G411" t="s">
        <v>26</v>
      </c>
      <c r="H411">
        <v>1996</v>
      </c>
      <c r="I411">
        <v>2454</v>
      </c>
      <c r="J411">
        <v>39023.46</v>
      </c>
      <c r="K411">
        <v>30811.46</v>
      </c>
      <c r="L411">
        <v>8212</v>
      </c>
      <c r="M411">
        <v>23.21</v>
      </c>
      <c r="N411" s="1" t="s">
        <v>440</v>
      </c>
    </row>
    <row r="412" spans="1:14" x14ac:dyDescent="0.25">
      <c r="A412">
        <v>2023</v>
      </c>
      <c r="B412">
        <v>9</v>
      </c>
      <c r="C412" t="s">
        <v>187</v>
      </c>
      <c r="D412" t="str">
        <f t="shared" si="6"/>
        <v>Sep</v>
      </c>
      <c r="E412">
        <v>3</v>
      </c>
      <c r="F412" t="s">
        <v>25</v>
      </c>
      <c r="G412" t="s">
        <v>26</v>
      </c>
      <c r="H412">
        <v>3285</v>
      </c>
      <c r="I412">
        <v>4425</v>
      </c>
      <c r="J412">
        <v>40989.75</v>
      </c>
      <c r="K412">
        <v>27397.75</v>
      </c>
      <c r="L412">
        <v>13592</v>
      </c>
      <c r="M412">
        <v>36.18</v>
      </c>
      <c r="N412" s="1" t="s">
        <v>441</v>
      </c>
    </row>
    <row r="413" spans="1:14" x14ac:dyDescent="0.25">
      <c r="A413">
        <v>2023</v>
      </c>
      <c r="B413">
        <v>9</v>
      </c>
      <c r="C413" t="s">
        <v>187</v>
      </c>
      <c r="D413" t="str">
        <f t="shared" si="6"/>
        <v>Sep</v>
      </c>
      <c r="E413">
        <v>3</v>
      </c>
      <c r="F413" t="s">
        <v>23</v>
      </c>
      <c r="G413" t="s">
        <v>19</v>
      </c>
      <c r="H413">
        <v>6420</v>
      </c>
      <c r="I413">
        <v>7599</v>
      </c>
      <c r="J413">
        <v>132597.01</v>
      </c>
      <c r="K413">
        <v>105516.01</v>
      </c>
      <c r="L413">
        <v>27081</v>
      </c>
      <c r="M413">
        <v>23.55</v>
      </c>
      <c r="N413" s="1" t="s">
        <v>442</v>
      </c>
    </row>
    <row r="414" spans="1:14" x14ac:dyDescent="0.25">
      <c r="A414">
        <v>2023</v>
      </c>
      <c r="B414">
        <v>9</v>
      </c>
      <c r="C414" t="s">
        <v>187</v>
      </c>
      <c r="D414" t="str">
        <f t="shared" si="6"/>
        <v>Sep</v>
      </c>
      <c r="E414">
        <v>3</v>
      </c>
      <c r="F414" t="s">
        <v>23</v>
      </c>
      <c r="G414" t="s">
        <v>21</v>
      </c>
      <c r="H414">
        <v>1282</v>
      </c>
      <c r="I414">
        <v>1466</v>
      </c>
      <c r="J414">
        <v>26214.34</v>
      </c>
      <c r="K414">
        <v>20726.34</v>
      </c>
      <c r="L414">
        <v>5488</v>
      </c>
      <c r="M414">
        <v>24.2</v>
      </c>
      <c r="N414" s="1" t="s">
        <v>443</v>
      </c>
    </row>
    <row r="415" spans="1:14" x14ac:dyDescent="0.25">
      <c r="A415">
        <v>2023</v>
      </c>
      <c r="B415">
        <v>9</v>
      </c>
      <c r="C415" t="s">
        <v>187</v>
      </c>
      <c r="D415" t="str">
        <f t="shared" si="6"/>
        <v>Sep</v>
      </c>
      <c r="E415">
        <v>3</v>
      </c>
      <c r="F415" t="s">
        <v>17</v>
      </c>
      <c r="G415" t="s">
        <v>26</v>
      </c>
      <c r="H415">
        <v>777</v>
      </c>
      <c r="I415">
        <v>911</v>
      </c>
      <c r="J415">
        <v>16201.89</v>
      </c>
      <c r="K415">
        <v>9707.89</v>
      </c>
      <c r="L415">
        <v>6494</v>
      </c>
      <c r="M415">
        <v>42.68</v>
      </c>
      <c r="N415" s="1" t="s">
        <v>444</v>
      </c>
    </row>
    <row r="416" spans="1:14" x14ac:dyDescent="0.25">
      <c r="A416">
        <v>2023</v>
      </c>
      <c r="B416">
        <v>9</v>
      </c>
      <c r="C416" t="s">
        <v>187</v>
      </c>
      <c r="D416" t="str">
        <f t="shared" si="6"/>
        <v>Sep</v>
      </c>
      <c r="E416">
        <v>3</v>
      </c>
      <c r="F416" t="s">
        <v>14</v>
      </c>
      <c r="G416" t="s">
        <v>19</v>
      </c>
      <c r="H416">
        <v>3113</v>
      </c>
      <c r="I416">
        <v>3513</v>
      </c>
      <c r="J416">
        <v>40742.870000000003</v>
      </c>
      <c r="K416">
        <v>29458.87</v>
      </c>
      <c r="L416">
        <v>11284</v>
      </c>
      <c r="M416">
        <v>33.57</v>
      </c>
      <c r="N416" s="1" t="s">
        <v>445</v>
      </c>
    </row>
    <row r="417" spans="1:14" x14ac:dyDescent="0.25">
      <c r="A417">
        <v>2023</v>
      </c>
      <c r="B417">
        <v>9</v>
      </c>
      <c r="C417" t="s">
        <v>187</v>
      </c>
      <c r="D417" t="str">
        <f t="shared" si="6"/>
        <v>Sep</v>
      </c>
      <c r="E417">
        <v>3</v>
      </c>
      <c r="F417" t="s">
        <v>28</v>
      </c>
      <c r="G417" t="s">
        <v>26</v>
      </c>
      <c r="H417">
        <v>1565</v>
      </c>
      <c r="I417">
        <v>1950</v>
      </c>
      <c r="J417">
        <v>26408.5</v>
      </c>
      <c r="K417">
        <v>20092.5</v>
      </c>
      <c r="L417">
        <v>6316</v>
      </c>
      <c r="M417">
        <v>23.25</v>
      </c>
      <c r="N417" s="1" t="s">
        <v>446</v>
      </c>
    </row>
    <row r="418" spans="1:14" x14ac:dyDescent="0.25">
      <c r="A418">
        <v>2023</v>
      </c>
      <c r="B418">
        <v>9</v>
      </c>
      <c r="C418" t="s">
        <v>187</v>
      </c>
      <c r="D418" t="str">
        <f t="shared" si="6"/>
        <v>Sep</v>
      </c>
      <c r="E418">
        <v>3</v>
      </c>
      <c r="F418" t="s">
        <v>17</v>
      </c>
      <c r="G418" t="s">
        <v>15</v>
      </c>
      <c r="H418">
        <v>291</v>
      </c>
      <c r="I418">
        <v>376</v>
      </c>
      <c r="J418">
        <v>6619.24</v>
      </c>
      <c r="K418">
        <v>3926.24</v>
      </c>
      <c r="L418">
        <v>2693</v>
      </c>
      <c r="M418">
        <v>41.51</v>
      </c>
      <c r="N418" s="1" t="s">
        <v>447</v>
      </c>
    </row>
    <row r="419" spans="1:14" x14ac:dyDescent="0.25">
      <c r="A419">
        <v>2023</v>
      </c>
      <c r="B419">
        <v>9</v>
      </c>
      <c r="C419" t="s">
        <v>187</v>
      </c>
      <c r="D419" t="str">
        <f t="shared" si="6"/>
        <v>Sep</v>
      </c>
      <c r="E419">
        <v>3</v>
      </c>
      <c r="F419" t="s">
        <v>17</v>
      </c>
      <c r="G419" t="s">
        <v>19</v>
      </c>
      <c r="H419">
        <v>1948</v>
      </c>
      <c r="I419">
        <v>2249</v>
      </c>
      <c r="J419">
        <v>40631.51</v>
      </c>
      <c r="K419">
        <v>24722.51</v>
      </c>
      <c r="L419">
        <v>15909</v>
      </c>
      <c r="M419">
        <v>41.46</v>
      </c>
      <c r="N419" s="1" t="s">
        <v>448</v>
      </c>
    </row>
    <row r="420" spans="1:14" x14ac:dyDescent="0.25">
      <c r="A420">
        <v>2023</v>
      </c>
      <c r="B420">
        <v>9</v>
      </c>
      <c r="C420" t="s">
        <v>187</v>
      </c>
      <c r="D420" t="str">
        <f t="shared" si="6"/>
        <v>Sep</v>
      </c>
      <c r="E420">
        <v>3</v>
      </c>
      <c r="F420" t="s">
        <v>14</v>
      </c>
      <c r="G420" t="s">
        <v>15</v>
      </c>
      <c r="H420">
        <v>560</v>
      </c>
      <c r="I420">
        <v>621</v>
      </c>
      <c r="J420">
        <v>6792.79</v>
      </c>
      <c r="K420">
        <v>4681.79</v>
      </c>
      <c r="L420">
        <v>2111</v>
      </c>
      <c r="M420">
        <v>35.93</v>
      </c>
      <c r="N420" s="1" t="s">
        <v>449</v>
      </c>
    </row>
    <row r="421" spans="1:14" x14ac:dyDescent="0.25">
      <c r="A421">
        <v>2023</v>
      </c>
      <c r="B421">
        <v>9</v>
      </c>
      <c r="C421" t="s">
        <v>187</v>
      </c>
      <c r="D421" t="str">
        <f t="shared" si="6"/>
        <v>Sep</v>
      </c>
      <c r="E421">
        <v>3</v>
      </c>
      <c r="F421" t="s">
        <v>28</v>
      </c>
      <c r="G421" t="s">
        <v>15</v>
      </c>
      <c r="H421">
        <v>505</v>
      </c>
      <c r="I421">
        <v>672</v>
      </c>
      <c r="J421">
        <v>9068.2800000000007</v>
      </c>
      <c r="K421">
        <v>7028.28</v>
      </c>
      <c r="L421">
        <v>2040</v>
      </c>
      <c r="M421">
        <v>21.63</v>
      </c>
      <c r="N421" s="1" t="s">
        <v>450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CB79-6AD1-453E-A7B0-24C4571A3A1F}">
  <dimension ref="A1:J1594"/>
  <sheetViews>
    <sheetView topLeftCell="A1295" workbookViewId="0">
      <selection activeCell="D9" sqref="D9"/>
    </sheetView>
  </sheetViews>
  <sheetFormatPr defaultRowHeight="15" x14ac:dyDescent="0.25"/>
  <cols>
    <col min="1" max="1" width="10.5703125" bestFit="1" customWidth="1"/>
    <col min="2" max="2" width="29" bestFit="1" customWidth="1"/>
    <col min="3" max="3" width="16.28515625" bestFit="1" customWidth="1"/>
    <col min="4" max="4" width="12.85546875" bestFit="1" customWidth="1"/>
    <col min="5" max="5" width="22" bestFit="1" customWidth="1"/>
    <col min="6" max="6" width="19" bestFit="1" customWidth="1"/>
    <col min="7" max="7" width="16.7109375" bestFit="1" customWidth="1"/>
    <col min="8" max="8" width="17.7109375" bestFit="1" customWidth="1"/>
    <col min="9" max="9" width="30.42578125" bestFit="1" customWidth="1"/>
    <col min="10" max="10" width="21.42578125" bestFit="1" customWidth="1"/>
  </cols>
  <sheetData>
    <row r="1" spans="1:10" x14ac:dyDescent="0.25">
      <c r="A1" t="s">
        <v>454</v>
      </c>
      <c r="B1" t="s">
        <v>455</v>
      </c>
      <c r="C1" t="s">
        <v>5</v>
      </c>
      <c r="D1" t="s">
        <v>456</v>
      </c>
      <c r="E1" t="s">
        <v>457</v>
      </c>
      <c r="F1" t="s">
        <v>4</v>
      </c>
      <c r="G1" t="s">
        <v>458</v>
      </c>
      <c r="H1" t="s">
        <v>7</v>
      </c>
      <c r="I1" t="s">
        <v>459</v>
      </c>
      <c r="J1" t="s">
        <v>460</v>
      </c>
    </row>
    <row r="2" spans="1:10" x14ac:dyDescent="0.25">
      <c r="A2">
        <v>1</v>
      </c>
      <c r="B2" t="s">
        <v>461</v>
      </c>
      <c r="C2" t="s">
        <v>21</v>
      </c>
      <c r="D2">
        <v>2</v>
      </c>
      <c r="E2" t="s">
        <v>462</v>
      </c>
      <c r="F2" t="s">
        <v>23</v>
      </c>
      <c r="G2">
        <v>0</v>
      </c>
      <c r="H2">
        <v>633</v>
      </c>
      <c r="I2">
        <v>0</v>
      </c>
      <c r="J2" t="s">
        <v>463</v>
      </c>
    </row>
    <row r="3" spans="1:10" x14ac:dyDescent="0.25">
      <c r="A3">
        <v>1</v>
      </c>
      <c r="B3" t="s">
        <v>461</v>
      </c>
      <c r="C3" t="s">
        <v>21</v>
      </c>
      <c r="D3">
        <v>5</v>
      </c>
      <c r="E3" t="s">
        <v>464</v>
      </c>
      <c r="F3" t="s">
        <v>14</v>
      </c>
      <c r="G3">
        <v>0</v>
      </c>
      <c r="H3">
        <v>224</v>
      </c>
      <c r="I3">
        <v>0</v>
      </c>
      <c r="J3" t="s">
        <v>463</v>
      </c>
    </row>
    <row r="4" spans="1:10" x14ac:dyDescent="0.25">
      <c r="A4">
        <v>2</v>
      </c>
      <c r="B4" t="s">
        <v>465</v>
      </c>
      <c r="C4" t="s">
        <v>21</v>
      </c>
      <c r="D4">
        <v>1</v>
      </c>
      <c r="E4" t="s">
        <v>466</v>
      </c>
      <c r="F4" t="s">
        <v>23</v>
      </c>
      <c r="G4">
        <v>0</v>
      </c>
      <c r="H4">
        <v>746</v>
      </c>
      <c r="I4">
        <v>0</v>
      </c>
      <c r="J4" t="s">
        <v>463</v>
      </c>
    </row>
    <row r="5" spans="1:10" x14ac:dyDescent="0.25">
      <c r="A5">
        <v>1</v>
      </c>
      <c r="B5" t="s">
        <v>461</v>
      </c>
      <c r="C5" t="s">
        <v>21</v>
      </c>
      <c r="D5">
        <v>34</v>
      </c>
      <c r="E5" t="s">
        <v>467</v>
      </c>
      <c r="F5" t="s">
        <v>17</v>
      </c>
      <c r="G5">
        <v>0</v>
      </c>
      <c r="H5">
        <v>246</v>
      </c>
      <c r="I5">
        <v>0</v>
      </c>
      <c r="J5" t="s">
        <v>463</v>
      </c>
    </row>
    <row r="6" spans="1:10" x14ac:dyDescent="0.25">
      <c r="A6">
        <v>2</v>
      </c>
      <c r="B6" t="s">
        <v>465</v>
      </c>
      <c r="C6" t="s">
        <v>21</v>
      </c>
      <c r="D6">
        <v>9</v>
      </c>
      <c r="E6" t="s">
        <v>468</v>
      </c>
      <c r="F6" t="s">
        <v>23</v>
      </c>
      <c r="G6">
        <v>0</v>
      </c>
      <c r="H6">
        <v>827</v>
      </c>
      <c r="I6">
        <v>0</v>
      </c>
      <c r="J6" t="s">
        <v>463</v>
      </c>
    </row>
    <row r="7" spans="1:10" x14ac:dyDescent="0.25">
      <c r="A7">
        <v>2</v>
      </c>
      <c r="B7" t="s">
        <v>465</v>
      </c>
      <c r="C7" t="s">
        <v>21</v>
      </c>
      <c r="D7">
        <v>11</v>
      </c>
      <c r="E7" t="s">
        <v>469</v>
      </c>
      <c r="F7" t="s">
        <v>25</v>
      </c>
      <c r="G7">
        <v>0</v>
      </c>
      <c r="H7">
        <v>162</v>
      </c>
      <c r="I7">
        <v>0</v>
      </c>
      <c r="J7" t="s">
        <v>463</v>
      </c>
    </row>
    <row r="8" spans="1:10" x14ac:dyDescent="0.25">
      <c r="A8">
        <v>3</v>
      </c>
      <c r="B8" t="s">
        <v>470</v>
      </c>
      <c r="C8" t="s">
        <v>26</v>
      </c>
      <c r="D8">
        <v>15</v>
      </c>
      <c r="E8" t="s">
        <v>471</v>
      </c>
      <c r="F8" t="s">
        <v>23</v>
      </c>
      <c r="G8">
        <v>0</v>
      </c>
      <c r="H8">
        <v>678</v>
      </c>
      <c r="I8">
        <v>0</v>
      </c>
      <c r="J8" t="s">
        <v>463</v>
      </c>
    </row>
    <row r="9" spans="1:10" x14ac:dyDescent="0.25">
      <c r="A9">
        <v>3</v>
      </c>
      <c r="B9" t="s">
        <v>470</v>
      </c>
      <c r="C9" t="s">
        <v>26</v>
      </c>
      <c r="D9">
        <v>29</v>
      </c>
      <c r="E9" t="s">
        <v>472</v>
      </c>
      <c r="F9" t="s">
        <v>23</v>
      </c>
      <c r="G9">
        <v>0</v>
      </c>
      <c r="H9">
        <v>46</v>
      </c>
      <c r="I9">
        <v>0</v>
      </c>
      <c r="J9" t="s">
        <v>463</v>
      </c>
    </row>
    <row r="10" spans="1:10" x14ac:dyDescent="0.25">
      <c r="A10">
        <v>4</v>
      </c>
      <c r="B10" t="s">
        <v>473</v>
      </c>
      <c r="C10" t="s">
        <v>19</v>
      </c>
      <c r="D10">
        <v>34</v>
      </c>
      <c r="E10" t="s">
        <v>467</v>
      </c>
      <c r="F10" t="s">
        <v>17</v>
      </c>
      <c r="G10">
        <v>0</v>
      </c>
      <c r="H10">
        <v>195</v>
      </c>
      <c r="I10">
        <v>0</v>
      </c>
      <c r="J10" t="s">
        <v>463</v>
      </c>
    </row>
    <row r="11" spans="1:10" x14ac:dyDescent="0.25">
      <c r="A11">
        <v>5</v>
      </c>
      <c r="B11" t="s">
        <v>474</v>
      </c>
      <c r="C11" t="s">
        <v>19</v>
      </c>
      <c r="D11">
        <v>11</v>
      </c>
      <c r="E11" t="s">
        <v>469</v>
      </c>
      <c r="F11" t="s">
        <v>25</v>
      </c>
      <c r="G11">
        <v>0</v>
      </c>
      <c r="H11">
        <v>150</v>
      </c>
      <c r="I11">
        <v>0</v>
      </c>
      <c r="J11" t="s">
        <v>463</v>
      </c>
    </row>
    <row r="12" spans="1:10" x14ac:dyDescent="0.25">
      <c r="A12">
        <v>5</v>
      </c>
      <c r="B12" t="s">
        <v>474</v>
      </c>
      <c r="C12" t="s">
        <v>19</v>
      </c>
      <c r="D12">
        <v>12</v>
      </c>
      <c r="E12" t="s">
        <v>475</v>
      </c>
      <c r="F12" t="s">
        <v>28</v>
      </c>
      <c r="G12">
        <v>0</v>
      </c>
      <c r="H12">
        <v>114</v>
      </c>
      <c r="I12">
        <v>0</v>
      </c>
      <c r="J12" t="s">
        <v>463</v>
      </c>
    </row>
    <row r="13" spans="1:10" x14ac:dyDescent="0.25">
      <c r="A13">
        <v>5</v>
      </c>
      <c r="B13" t="s">
        <v>474</v>
      </c>
      <c r="C13" t="s">
        <v>19</v>
      </c>
      <c r="D13">
        <v>15</v>
      </c>
      <c r="E13" t="s">
        <v>471</v>
      </c>
      <c r="F13" t="s">
        <v>23</v>
      </c>
      <c r="G13">
        <v>0</v>
      </c>
      <c r="H13">
        <v>337</v>
      </c>
      <c r="I13">
        <v>0</v>
      </c>
      <c r="J13" t="s">
        <v>463</v>
      </c>
    </row>
    <row r="14" spans="1:10" x14ac:dyDescent="0.25">
      <c r="A14">
        <v>5</v>
      </c>
      <c r="B14" t="s">
        <v>474</v>
      </c>
      <c r="C14" t="s">
        <v>19</v>
      </c>
      <c r="D14">
        <v>21</v>
      </c>
      <c r="E14" t="s">
        <v>476</v>
      </c>
      <c r="F14" t="s">
        <v>28</v>
      </c>
      <c r="G14">
        <v>0</v>
      </c>
      <c r="H14">
        <v>1132</v>
      </c>
      <c r="I14">
        <v>0</v>
      </c>
      <c r="J14" t="s">
        <v>463</v>
      </c>
    </row>
    <row r="15" spans="1:10" x14ac:dyDescent="0.25">
      <c r="A15">
        <v>5</v>
      </c>
      <c r="B15" t="s">
        <v>474</v>
      </c>
      <c r="C15" t="s">
        <v>19</v>
      </c>
      <c r="D15">
        <v>28</v>
      </c>
      <c r="E15" t="s">
        <v>477</v>
      </c>
      <c r="F15" t="s">
        <v>25</v>
      </c>
      <c r="G15">
        <v>0</v>
      </c>
      <c r="H15">
        <v>34</v>
      </c>
      <c r="I15">
        <v>0</v>
      </c>
      <c r="J15" t="s">
        <v>463</v>
      </c>
    </row>
    <row r="16" spans="1:10" x14ac:dyDescent="0.25">
      <c r="A16">
        <v>6</v>
      </c>
      <c r="B16" t="s">
        <v>478</v>
      </c>
      <c r="C16" t="s">
        <v>26</v>
      </c>
      <c r="D16">
        <v>1</v>
      </c>
      <c r="E16" t="s">
        <v>466</v>
      </c>
      <c r="F16" t="s">
        <v>23</v>
      </c>
      <c r="G16">
        <v>0</v>
      </c>
      <c r="H16">
        <v>908</v>
      </c>
      <c r="I16">
        <v>0</v>
      </c>
      <c r="J16" t="s">
        <v>463</v>
      </c>
    </row>
    <row r="17" spans="1:10" x14ac:dyDescent="0.25">
      <c r="A17">
        <v>7</v>
      </c>
      <c r="B17" t="s">
        <v>479</v>
      </c>
      <c r="C17" t="s">
        <v>19</v>
      </c>
      <c r="D17">
        <v>9</v>
      </c>
      <c r="E17" t="s">
        <v>468</v>
      </c>
      <c r="F17" t="s">
        <v>23</v>
      </c>
      <c r="G17">
        <v>0</v>
      </c>
      <c r="H17">
        <v>619</v>
      </c>
      <c r="I17">
        <v>0</v>
      </c>
      <c r="J17" t="s">
        <v>463</v>
      </c>
    </row>
    <row r="18" spans="1:10" x14ac:dyDescent="0.25">
      <c r="A18">
        <v>7</v>
      </c>
      <c r="B18" t="s">
        <v>479</v>
      </c>
      <c r="C18" t="s">
        <v>19</v>
      </c>
      <c r="D18">
        <v>28</v>
      </c>
      <c r="E18" t="s">
        <v>477</v>
      </c>
      <c r="F18" t="s">
        <v>25</v>
      </c>
      <c r="G18">
        <v>0</v>
      </c>
      <c r="H18">
        <v>116</v>
      </c>
      <c r="I18">
        <v>0</v>
      </c>
      <c r="J18" t="s">
        <v>463</v>
      </c>
    </row>
    <row r="19" spans="1:10" x14ac:dyDescent="0.25">
      <c r="A19">
        <v>8</v>
      </c>
      <c r="B19" t="s">
        <v>480</v>
      </c>
      <c r="C19" t="s">
        <v>19</v>
      </c>
      <c r="D19">
        <v>9</v>
      </c>
      <c r="E19" t="s">
        <v>468</v>
      </c>
      <c r="F19" t="s">
        <v>23</v>
      </c>
      <c r="G19">
        <v>0</v>
      </c>
      <c r="H19">
        <v>844</v>
      </c>
      <c r="I19">
        <v>0</v>
      </c>
      <c r="J19" t="s">
        <v>463</v>
      </c>
    </row>
    <row r="20" spans="1:10" x14ac:dyDescent="0.25">
      <c r="A20">
        <v>8</v>
      </c>
      <c r="B20" t="s">
        <v>480</v>
      </c>
      <c r="C20" t="s">
        <v>19</v>
      </c>
      <c r="D20">
        <v>13</v>
      </c>
      <c r="E20" t="s">
        <v>481</v>
      </c>
      <c r="F20" t="s">
        <v>17</v>
      </c>
      <c r="G20">
        <v>0</v>
      </c>
      <c r="H20">
        <v>326</v>
      </c>
      <c r="I20">
        <v>0</v>
      </c>
      <c r="J20" t="s">
        <v>463</v>
      </c>
    </row>
    <row r="21" spans="1:10" x14ac:dyDescent="0.25">
      <c r="A21">
        <v>8</v>
      </c>
      <c r="B21" t="s">
        <v>480</v>
      </c>
      <c r="C21" t="s">
        <v>19</v>
      </c>
      <c r="D21">
        <v>14</v>
      </c>
      <c r="E21" t="s">
        <v>482</v>
      </c>
      <c r="F21" t="s">
        <v>14</v>
      </c>
      <c r="G21">
        <v>0</v>
      </c>
      <c r="H21">
        <v>547</v>
      </c>
      <c r="I21">
        <v>0</v>
      </c>
      <c r="J21" t="s">
        <v>463</v>
      </c>
    </row>
    <row r="22" spans="1:10" x14ac:dyDescent="0.25">
      <c r="A22">
        <v>8</v>
      </c>
      <c r="B22" t="s">
        <v>480</v>
      </c>
      <c r="C22" t="s">
        <v>19</v>
      </c>
      <c r="D22">
        <v>15</v>
      </c>
      <c r="E22" t="s">
        <v>471</v>
      </c>
      <c r="F22" t="s">
        <v>23</v>
      </c>
      <c r="G22">
        <v>0</v>
      </c>
      <c r="H22">
        <v>358</v>
      </c>
      <c r="I22">
        <v>0</v>
      </c>
      <c r="J22" t="s">
        <v>463</v>
      </c>
    </row>
    <row r="23" spans="1:10" x14ac:dyDescent="0.25">
      <c r="A23">
        <v>11</v>
      </c>
      <c r="B23" t="s">
        <v>483</v>
      </c>
      <c r="C23" t="s">
        <v>19</v>
      </c>
      <c r="D23">
        <v>21</v>
      </c>
      <c r="E23" t="s">
        <v>476</v>
      </c>
      <c r="F23" t="s">
        <v>28</v>
      </c>
      <c r="G23">
        <v>0</v>
      </c>
      <c r="H23">
        <v>544</v>
      </c>
      <c r="I23">
        <v>0</v>
      </c>
      <c r="J23" t="s">
        <v>463</v>
      </c>
    </row>
    <row r="24" spans="1:10" x14ac:dyDescent="0.25">
      <c r="A24">
        <v>13</v>
      </c>
      <c r="B24" t="s">
        <v>484</v>
      </c>
      <c r="C24" t="s">
        <v>19</v>
      </c>
      <c r="D24">
        <v>1</v>
      </c>
      <c r="E24" t="s">
        <v>466</v>
      </c>
      <c r="F24" t="s">
        <v>23</v>
      </c>
      <c r="G24">
        <v>0</v>
      </c>
      <c r="H24">
        <v>1511</v>
      </c>
      <c r="I24">
        <v>0</v>
      </c>
      <c r="J24" t="s">
        <v>463</v>
      </c>
    </row>
    <row r="25" spans="1:10" x14ac:dyDescent="0.25">
      <c r="A25">
        <v>13</v>
      </c>
      <c r="B25" t="s">
        <v>484</v>
      </c>
      <c r="C25" t="s">
        <v>19</v>
      </c>
      <c r="D25">
        <v>9</v>
      </c>
      <c r="E25" t="s">
        <v>468</v>
      </c>
      <c r="F25" t="s">
        <v>23</v>
      </c>
      <c r="G25">
        <v>0</v>
      </c>
      <c r="H25">
        <v>792</v>
      </c>
      <c r="I25">
        <v>0</v>
      </c>
      <c r="J25" t="s">
        <v>463</v>
      </c>
    </row>
    <row r="26" spans="1:10" x14ac:dyDescent="0.25">
      <c r="A26">
        <v>13</v>
      </c>
      <c r="B26" t="s">
        <v>484</v>
      </c>
      <c r="C26" t="s">
        <v>19</v>
      </c>
      <c r="D26">
        <v>11</v>
      </c>
      <c r="E26" t="s">
        <v>469</v>
      </c>
      <c r="F26" t="s">
        <v>25</v>
      </c>
      <c r="G26">
        <v>0</v>
      </c>
      <c r="H26">
        <v>224</v>
      </c>
      <c r="I26">
        <v>0</v>
      </c>
      <c r="J26" t="s">
        <v>463</v>
      </c>
    </row>
    <row r="27" spans="1:10" x14ac:dyDescent="0.25">
      <c r="A27">
        <v>13</v>
      </c>
      <c r="B27" t="s">
        <v>484</v>
      </c>
      <c r="C27" t="s">
        <v>19</v>
      </c>
      <c r="D27">
        <v>12</v>
      </c>
      <c r="E27" t="s">
        <v>475</v>
      </c>
      <c r="F27" t="s">
        <v>28</v>
      </c>
      <c r="G27">
        <v>0</v>
      </c>
      <c r="H27">
        <v>210</v>
      </c>
      <c r="I27">
        <v>0</v>
      </c>
      <c r="J27" t="s">
        <v>463</v>
      </c>
    </row>
    <row r="28" spans="1:10" x14ac:dyDescent="0.25">
      <c r="A28">
        <v>13</v>
      </c>
      <c r="B28" t="s">
        <v>484</v>
      </c>
      <c r="C28" t="s">
        <v>19</v>
      </c>
      <c r="D28">
        <v>28</v>
      </c>
      <c r="E28" t="s">
        <v>477</v>
      </c>
      <c r="F28" t="s">
        <v>25</v>
      </c>
      <c r="G28">
        <v>0</v>
      </c>
      <c r="H28">
        <v>17</v>
      </c>
      <c r="I28">
        <v>0</v>
      </c>
      <c r="J28" t="s">
        <v>463</v>
      </c>
    </row>
    <row r="29" spans="1:10" x14ac:dyDescent="0.25">
      <c r="A29">
        <v>14</v>
      </c>
      <c r="B29" t="s">
        <v>485</v>
      </c>
      <c r="C29" t="s">
        <v>19</v>
      </c>
      <c r="D29">
        <v>15</v>
      </c>
      <c r="E29" t="s">
        <v>471</v>
      </c>
      <c r="F29" t="s">
        <v>23</v>
      </c>
      <c r="G29">
        <v>0</v>
      </c>
      <c r="H29">
        <v>360</v>
      </c>
      <c r="I29">
        <v>0</v>
      </c>
      <c r="J29" t="s">
        <v>463</v>
      </c>
    </row>
    <row r="30" spans="1:10" x14ac:dyDescent="0.25">
      <c r="A30">
        <v>14</v>
      </c>
      <c r="B30" t="s">
        <v>485</v>
      </c>
      <c r="C30" t="s">
        <v>19</v>
      </c>
      <c r="D30">
        <v>21</v>
      </c>
      <c r="E30" t="s">
        <v>476</v>
      </c>
      <c r="F30" t="s">
        <v>28</v>
      </c>
      <c r="G30">
        <v>0</v>
      </c>
      <c r="H30">
        <v>749</v>
      </c>
      <c r="I30">
        <v>0</v>
      </c>
      <c r="J30" t="s">
        <v>463</v>
      </c>
    </row>
    <row r="31" spans="1:10" x14ac:dyDescent="0.25">
      <c r="A31">
        <v>14</v>
      </c>
      <c r="B31" t="s">
        <v>485</v>
      </c>
      <c r="C31" t="s">
        <v>19</v>
      </c>
      <c r="D31">
        <v>29</v>
      </c>
      <c r="E31" t="s">
        <v>472</v>
      </c>
      <c r="F31" t="s">
        <v>23</v>
      </c>
      <c r="G31">
        <v>0</v>
      </c>
      <c r="H31">
        <v>57</v>
      </c>
      <c r="I31">
        <v>0</v>
      </c>
      <c r="J31" t="s">
        <v>463</v>
      </c>
    </row>
    <row r="32" spans="1:10" x14ac:dyDescent="0.25">
      <c r="A32">
        <v>15</v>
      </c>
      <c r="B32" t="s">
        <v>486</v>
      </c>
      <c r="C32" t="s">
        <v>19</v>
      </c>
      <c r="D32">
        <v>12</v>
      </c>
      <c r="E32" t="s">
        <v>475</v>
      </c>
      <c r="F32" t="s">
        <v>28</v>
      </c>
      <c r="G32">
        <v>0</v>
      </c>
      <c r="H32">
        <v>176</v>
      </c>
      <c r="I32">
        <v>0</v>
      </c>
      <c r="J32" t="s">
        <v>463</v>
      </c>
    </row>
    <row r="33" spans="1:10" x14ac:dyDescent="0.25">
      <c r="A33">
        <v>16</v>
      </c>
      <c r="B33" t="s">
        <v>487</v>
      </c>
      <c r="C33" t="s">
        <v>19</v>
      </c>
      <c r="D33">
        <v>28</v>
      </c>
      <c r="E33" t="s">
        <v>477</v>
      </c>
      <c r="F33" t="s">
        <v>25</v>
      </c>
      <c r="G33">
        <v>0</v>
      </c>
      <c r="H33">
        <v>92</v>
      </c>
      <c r="I33">
        <v>0</v>
      </c>
      <c r="J33" t="s">
        <v>463</v>
      </c>
    </row>
    <row r="34" spans="1:10" x14ac:dyDescent="0.25">
      <c r="A34">
        <v>18</v>
      </c>
      <c r="B34" t="s">
        <v>488</v>
      </c>
      <c r="C34" t="s">
        <v>19</v>
      </c>
      <c r="D34">
        <v>28</v>
      </c>
      <c r="E34" t="s">
        <v>477</v>
      </c>
      <c r="F34" t="s">
        <v>25</v>
      </c>
      <c r="G34">
        <v>0</v>
      </c>
      <c r="H34">
        <v>67</v>
      </c>
      <c r="I34">
        <v>0</v>
      </c>
      <c r="J34" t="s">
        <v>463</v>
      </c>
    </row>
    <row r="35" spans="1:10" x14ac:dyDescent="0.25">
      <c r="A35">
        <v>19</v>
      </c>
      <c r="B35" t="s">
        <v>489</v>
      </c>
      <c r="C35" t="s">
        <v>26</v>
      </c>
      <c r="D35">
        <v>11</v>
      </c>
      <c r="E35" t="s">
        <v>469</v>
      </c>
      <c r="F35" t="s">
        <v>25</v>
      </c>
      <c r="G35">
        <v>0</v>
      </c>
      <c r="H35">
        <v>146</v>
      </c>
      <c r="I35">
        <v>0</v>
      </c>
      <c r="J35" t="s">
        <v>463</v>
      </c>
    </row>
    <row r="36" spans="1:10" x14ac:dyDescent="0.25">
      <c r="A36">
        <v>19</v>
      </c>
      <c r="B36" t="s">
        <v>489</v>
      </c>
      <c r="C36" t="s">
        <v>26</v>
      </c>
      <c r="D36">
        <v>15</v>
      </c>
      <c r="E36" t="s">
        <v>471</v>
      </c>
      <c r="F36" t="s">
        <v>23</v>
      </c>
      <c r="G36">
        <v>0</v>
      </c>
      <c r="H36">
        <v>464</v>
      </c>
      <c r="I36">
        <v>0</v>
      </c>
      <c r="J36" t="s">
        <v>463</v>
      </c>
    </row>
    <row r="37" spans="1:10" x14ac:dyDescent="0.25">
      <c r="A37">
        <v>19</v>
      </c>
      <c r="B37" t="s">
        <v>489</v>
      </c>
      <c r="C37" t="s">
        <v>26</v>
      </c>
      <c r="D37">
        <v>33</v>
      </c>
      <c r="E37" t="s">
        <v>490</v>
      </c>
      <c r="F37" t="s">
        <v>23</v>
      </c>
      <c r="G37">
        <v>0</v>
      </c>
      <c r="H37">
        <v>57</v>
      </c>
      <c r="I37">
        <v>0</v>
      </c>
      <c r="J37" t="s">
        <v>463</v>
      </c>
    </row>
    <row r="38" spans="1:10" x14ac:dyDescent="0.25">
      <c r="A38">
        <v>20</v>
      </c>
      <c r="B38" t="s">
        <v>491</v>
      </c>
      <c r="C38" t="s">
        <v>19</v>
      </c>
      <c r="D38">
        <v>21</v>
      </c>
      <c r="E38" t="s">
        <v>476</v>
      </c>
      <c r="F38" t="s">
        <v>28</v>
      </c>
      <c r="G38">
        <v>0</v>
      </c>
      <c r="H38">
        <v>259</v>
      </c>
      <c r="I38">
        <v>0</v>
      </c>
      <c r="J38" t="s">
        <v>463</v>
      </c>
    </row>
    <row r="39" spans="1:10" x14ac:dyDescent="0.25">
      <c r="A39">
        <v>22</v>
      </c>
      <c r="B39" t="s">
        <v>492</v>
      </c>
      <c r="C39" t="s">
        <v>26</v>
      </c>
      <c r="D39">
        <v>15</v>
      </c>
      <c r="E39" t="s">
        <v>471</v>
      </c>
      <c r="F39" t="s">
        <v>23</v>
      </c>
      <c r="G39">
        <v>0</v>
      </c>
      <c r="H39">
        <v>357</v>
      </c>
      <c r="I39">
        <v>0</v>
      </c>
      <c r="J39" t="s">
        <v>463</v>
      </c>
    </row>
    <row r="40" spans="1:10" x14ac:dyDescent="0.25">
      <c r="A40">
        <v>22</v>
      </c>
      <c r="B40" t="s">
        <v>492</v>
      </c>
      <c r="C40" t="s">
        <v>26</v>
      </c>
      <c r="D40">
        <v>3</v>
      </c>
      <c r="E40" t="s">
        <v>493</v>
      </c>
      <c r="F40" t="s">
        <v>25</v>
      </c>
      <c r="G40">
        <v>0</v>
      </c>
      <c r="H40">
        <v>1475</v>
      </c>
      <c r="I40">
        <v>0</v>
      </c>
      <c r="J40" t="s">
        <v>463</v>
      </c>
    </row>
    <row r="41" spans="1:10" x14ac:dyDescent="0.25">
      <c r="A41">
        <v>22</v>
      </c>
      <c r="B41" t="s">
        <v>492</v>
      </c>
      <c r="C41" t="s">
        <v>26</v>
      </c>
      <c r="D41">
        <v>28</v>
      </c>
      <c r="E41" t="s">
        <v>477</v>
      </c>
      <c r="F41" t="s">
        <v>25</v>
      </c>
      <c r="G41">
        <v>0</v>
      </c>
      <c r="H41">
        <v>159</v>
      </c>
      <c r="I41">
        <v>0</v>
      </c>
      <c r="J41" t="s">
        <v>463</v>
      </c>
    </row>
    <row r="42" spans="1:10" x14ac:dyDescent="0.25">
      <c r="A42">
        <v>24</v>
      </c>
      <c r="B42" t="s">
        <v>494</v>
      </c>
      <c r="C42" t="s">
        <v>19</v>
      </c>
      <c r="D42">
        <v>12</v>
      </c>
      <c r="E42" t="s">
        <v>475</v>
      </c>
      <c r="F42" t="s">
        <v>28</v>
      </c>
      <c r="G42">
        <v>0</v>
      </c>
      <c r="H42">
        <v>58</v>
      </c>
      <c r="I42">
        <v>0</v>
      </c>
      <c r="J42" t="s">
        <v>463</v>
      </c>
    </row>
    <row r="43" spans="1:10" x14ac:dyDescent="0.25">
      <c r="A43">
        <v>24</v>
      </c>
      <c r="B43" t="s">
        <v>494</v>
      </c>
      <c r="C43" t="s">
        <v>19</v>
      </c>
      <c r="D43">
        <v>15</v>
      </c>
      <c r="E43" t="s">
        <v>471</v>
      </c>
      <c r="F43" t="s">
        <v>23</v>
      </c>
      <c r="G43">
        <v>0</v>
      </c>
      <c r="H43">
        <v>301</v>
      </c>
      <c r="I43">
        <v>0</v>
      </c>
      <c r="J43" t="s">
        <v>463</v>
      </c>
    </row>
    <row r="44" spans="1:10" x14ac:dyDescent="0.25">
      <c r="A44">
        <v>24</v>
      </c>
      <c r="B44" t="s">
        <v>494</v>
      </c>
      <c r="C44" t="s">
        <v>19</v>
      </c>
      <c r="D44">
        <v>21</v>
      </c>
      <c r="E44" t="s">
        <v>476</v>
      </c>
      <c r="F44" t="s">
        <v>28</v>
      </c>
      <c r="G44">
        <v>0</v>
      </c>
      <c r="H44">
        <v>888</v>
      </c>
      <c r="I44">
        <v>0</v>
      </c>
      <c r="J44" t="s">
        <v>463</v>
      </c>
    </row>
    <row r="45" spans="1:10" x14ac:dyDescent="0.25">
      <c r="A45">
        <v>24</v>
      </c>
      <c r="B45" t="s">
        <v>494</v>
      </c>
      <c r="C45" t="s">
        <v>19</v>
      </c>
      <c r="D45">
        <v>28</v>
      </c>
      <c r="E45" t="s">
        <v>477</v>
      </c>
      <c r="F45" t="s">
        <v>25</v>
      </c>
      <c r="G45">
        <v>0</v>
      </c>
      <c r="H45">
        <v>72</v>
      </c>
      <c r="I45">
        <v>0</v>
      </c>
      <c r="J45" t="s">
        <v>463</v>
      </c>
    </row>
    <row r="46" spans="1:10" x14ac:dyDescent="0.25">
      <c r="A46">
        <v>25</v>
      </c>
      <c r="B46" t="s">
        <v>495</v>
      </c>
      <c r="C46" t="s">
        <v>19</v>
      </c>
      <c r="D46">
        <v>31</v>
      </c>
      <c r="E46" t="s">
        <v>496</v>
      </c>
      <c r="F46" t="s">
        <v>28</v>
      </c>
      <c r="G46">
        <v>0</v>
      </c>
      <c r="H46">
        <v>187</v>
      </c>
      <c r="I46">
        <v>0</v>
      </c>
      <c r="J46" t="s">
        <v>463</v>
      </c>
    </row>
    <row r="47" spans="1:10" x14ac:dyDescent="0.25">
      <c r="A47">
        <v>27</v>
      </c>
      <c r="B47" t="s">
        <v>497</v>
      </c>
      <c r="C47" t="s">
        <v>19</v>
      </c>
      <c r="D47">
        <v>11</v>
      </c>
      <c r="E47" t="s">
        <v>469</v>
      </c>
      <c r="F47" t="s">
        <v>25</v>
      </c>
      <c r="G47">
        <v>0</v>
      </c>
      <c r="H47">
        <v>138</v>
      </c>
      <c r="I47">
        <v>0</v>
      </c>
      <c r="J47" t="s">
        <v>463</v>
      </c>
    </row>
    <row r="48" spans="1:10" x14ac:dyDescent="0.25">
      <c r="A48">
        <v>28</v>
      </c>
      <c r="B48" t="s">
        <v>498</v>
      </c>
      <c r="C48" t="s">
        <v>19</v>
      </c>
      <c r="D48">
        <v>2</v>
      </c>
      <c r="E48" t="s">
        <v>462</v>
      </c>
      <c r="F48" t="s">
        <v>23</v>
      </c>
      <c r="G48">
        <v>0</v>
      </c>
      <c r="H48">
        <v>833</v>
      </c>
      <c r="I48">
        <v>0</v>
      </c>
      <c r="J48" t="s">
        <v>463</v>
      </c>
    </row>
    <row r="49" spans="1:10" x14ac:dyDescent="0.25">
      <c r="A49">
        <v>28</v>
      </c>
      <c r="B49" t="s">
        <v>498</v>
      </c>
      <c r="C49" t="s">
        <v>19</v>
      </c>
      <c r="D49">
        <v>15</v>
      </c>
      <c r="E49" t="s">
        <v>471</v>
      </c>
      <c r="F49" t="s">
        <v>23</v>
      </c>
      <c r="G49">
        <v>0</v>
      </c>
      <c r="H49">
        <v>474</v>
      </c>
      <c r="I49">
        <v>0</v>
      </c>
      <c r="J49" t="s">
        <v>463</v>
      </c>
    </row>
    <row r="50" spans="1:10" x14ac:dyDescent="0.25">
      <c r="A50">
        <v>32</v>
      </c>
      <c r="B50" t="s">
        <v>499</v>
      </c>
      <c r="C50" t="s">
        <v>21</v>
      </c>
      <c r="D50">
        <v>21</v>
      </c>
      <c r="E50" t="s">
        <v>476</v>
      </c>
      <c r="F50" t="s">
        <v>28</v>
      </c>
      <c r="G50">
        <v>0</v>
      </c>
      <c r="H50">
        <v>290</v>
      </c>
      <c r="I50">
        <v>0</v>
      </c>
      <c r="J50" t="s">
        <v>463</v>
      </c>
    </row>
    <row r="51" spans="1:10" x14ac:dyDescent="0.25">
      <c r="A51">
        <v>33</v>
      </c>
      <c r="B51" t="s">
        <v>500</v>
      </c>
      <c r="C51" t="s">
        <v>15</v>
      </c>
      <c r="D51">
        <v>13</v>
      </c>
      <c r="E51" t="s">
        <v>481</v>
      </c>
      <c r="F51" t="s">
        <v>17</v>
      </c>
      <c r="G51">
        <v>0</v>
      </c>
      <c r="H51">
        <v>452</v>
      </c>
      <c r="I51">
        <v>0</v>
      </c>
      <c r="J51" t="s">
        <v>463</v>
      </c>
    </row>
    <row r="52" spans="1:10" x14ac:dyDescent="0.25">
      <c r="A52">
        <v>33</v>
      </c>
      <c r="B52" t="s">
        <v>500</v>
      </c>
      <c r="C52" t="s">
        <v>15</v>
      </c>
      <c r="D52">
        <v>15</v>
      </c>
      <c r="E52" t="s">
        <v>471</v>
      </c>
      <c r="F52" t="s">
        <v>23</v>
      </c>
      <c r="G52">
        <v>0</v>
      </c>
      <c r="H52">
        <v>436</v>
      </c>
      <c r="I52">
        <v>0</v>
      </c>
      <c r="J52" t="s">
        <v>463</v>
      </c>
    </row>
    <row r="53" spans="1:10" x14ac:dyDescent="0.25">
      <c r="A53">
        <v>34</v>
      </c>
      <c r="B53" t="s">
        <v>501</v>
      </c>
      <c r="C53" t="s">
        <v>19</v>
      </c>
      <c r="D53">
        <v>9</v>
      </c>
      <c r="E53" t="s">
        <v>468</v>
      </c>
      <c r="F53" t="s">
        <v>23</v>
      </c>
      <c r="G53">
        <v>0</v>
      </c>
      <c r="H53">
        <v>977</v>
      </c>
      <c r="I53">
        <v>0</v>
      </c>
      <c r="J53" t="s">
        <v>463</v>
      </c>
    </row>
    <row r="54" spans="1:10" x14ac:dyDescent="0.25">
      <c r="A54">
        <v>35</v>
      </c>
      <c r="B54" t="s">
        <v>502</v>
      </c>
      <c r="C54" t="s">
        <v>19</v>
      </c>
      <c r="D54">
        <v>15</v>
      </c>
      <c r="E54" t="s">
        <v>471</v>
      </c>
      <c r="F54" t="s">
        <v>23</v>
      </c>
      <c r="G54">
        <v>0</v>
      </c>
      <c r="H54">
        <v>494</v>
      </c>
      <c r="I54">
        <v>0</v>
      </c>
      <c r="J54" t="s">
        <v>463</v>
      </c>
    </row>
    <row r="55" spans="1:10" x14ac:dyDescent="0.25">
      <c r="A55">
        <v>36</v>
      </c>
      <c r="B55" t="s">
        <v>503</v>
      </c>
      <c r="C55" t="s">
        <v>19</v>
      </c>
      <c r="D55">
        <v>4</v>
      </c>
      <c r="E55" t="s">
        <v>504</v>
      </c>
      <c r="F55" t="s">
        <v>14</v>
      </c>
      <c r="G55">
        <v>0</v>
      </c>
      <c r="H55">
        <v>147</v>
      </c>
      <c r="I55">
        <v>0</v>
      </c>
      <c r="J55" t="s">
        <v>463</v>
      </c>
    </row>
    <row r="56" spans="1:10" x14ac:dyDescent="0.25">
      <c r="A56">
        <v>37</v>
      </c>
      <c r="B56" t="s">
        <v>505</v>
      </c>
      <c r="C56" t="s">
        <v>21</v>
      </c>
      <c r="D56">
        <v>23</v>
      </c>
      <c r="E56" t="s">
        <v>506</v>
      </c>
      <c r="F56" t="s">
        <v>23</v>
      </c>
      <c r="G56">
        <v>0</v>
      </c>
      <c r="H56">
        <v>168</v>
      </c>
      <c r="I56">
        <v>0</v>
      </c>
      <c r="J56" t="s">
        <v>463</v>
      </c>
    </row>
    <row r="57" spans="1:10" x14ac:dyDescent="0.25">
      <c r="A57">
        <v>37</v>
      </c>
      <c r="B57" t="s">
        <v>505</v>
      </c>
      <c r="C57" t="s">
        <v>21</v>
      </c>
      <c r="D57">
        <v>32</v>
      </c>
      <c r="E57" t="s">
        <v>507</v>
      </c>
      <c r="F57" t="s">
        <v>28</v>
      </c>
      <c r="G57">
        <v>0</v>
      </c>
      <c r="H57">
        <v>152</v>
      </c>
      <c r="I57">
        <v>0</v>
      </c>
      <c r="J57" t="s">
        <v>463</v>
      </c>
    </row>
    <row r="58" spans="1:10" x14ac:dyDescent="0.25">
      <c r="A58">
        <v>38</v>
      </c>
      <c r="B58" t="s">
        <v>508</v>
      </c>
      <c r="C58" t="s">
        <v>19</v>
      </c>
      <c r="D58">
        <v>12</v>
      </c>
      <c r="E58" t="s">
        <v>475</v>
      </c>
      <c r="F58" t="s">
        <v>28</v>
      </c>
      <c r="G58">
        <v>0</v>
      </c>
      <c r="H58">
        <v>175</v>
      </c>
      <c r="I58">
        <v>0</v>
      </c>
      <c r="J58" t="s">
        <v>463</v>
      </c>
    </row>
    <row r="59" spans="1:10" x14ac:dyDescent="0.25">
      <c r="A59">
        <v>39</v>
      </c>
      <c r="B59" t="s">
        <v>509</v>
      </c>
      <c r="C59" t="s">
        <v>19</v>
      </c>
      <c r="D59">
        <v>1</v>
      </c>
      <c r="E59" t="s">
        <v>466</v>
      </c>
      <c r="F59" t="s">
        <v>23</v>
      </c>
      <c r="G59">
        <v>0</v>
      </c>
      <c r="H59">
        <v>1272</v>
      </c>
      <c r="I59">
        <v>0</v>
      </c>
      <c r="J59" t="s">
        <v>463</v>
      </c>
    </row>
    <row r="60" spans="1:10" x14ac:dyDescent="0.25">
      <c r="A60">
        <v>39</v>
      </c>
      <c r="B60" t="s">
        <v>509</v>
      </c>
      <c r="C60" t="s">
        <v>19</v>
      </c>
      <c r="D60">
        <v>15</v>
      </c>
      <c r="E60" t="s">
        <v>471</v>
      </c>
      <c r="F60" t="s">
        <v>23</v>
      </c>
      <c r="G60">
        <v>0</v>
      </c>
      <c r="H60">
        <v>478</v>
      </c>
      <c r="I60">
        <v>0</v>
      </c>
      <c r="J60" t="s">
        <v>463</v>
      </c>
    </row>
    <row r="61" spans="1:10" x14ac:dyDescent="0.25">
      <c r="A61">
        <v>39</v>
      </c>
      <c r="B61" t="s">
        <v>509</v>
      </c>
      <c r="C61" t="s">
        <v>19</v>
      </c>
      <c r="D61">
        <v>28</v>
      </c>
      <c r="E61" t="s">
        <v>477</v>
      </c>
      <c r="F61" t="s">
        <v>25</v>
      </c>
      <c r="G61">
        <v>0</v>
      </c>
      <c r="H61">
        <v>67</v>
      </c>
      <c r="I61">
        <v>0</v>
      </c>
      <c r="J61" t="s">
        <v>463</v>
      </c>
    </row>
    <row r="62" spans="1:10" x14ac:dyDescent="0.25">
      <c r="A62">
        <v>40</v>
      </c>
      <c r="B62" t="s">
        <v>510</v>
      </c>
      <c r="C62" t="s">
        <v>26</v>
      </c>
      <c r="D62">
        <v>28</v>
      </c>
      <c r="E62" t="s">
        <v>477</v>
      </c>
      <c r="F62" t="s">
        <v>25</v>
      </c>
      <c r="G62">
        <v>0</v>
      </c>
      <c r="H62">
        <v>132</v>
      </c>
      <c r="I62">
        <v>0</v>
      </c>
      <c r="J62" t="s">
        <v>463</v>
      </c>
    </row>
    <row r="63" spans="1:10" x14ac:dyDescent="0.25">
      <c r="A63">
        <v>41</v>
      </c>
      <c r="B63" t="s">
        <v>511</v>
      </c>
      <c r="C63" t="s">
        <v>19</v>
      </c>
      <c r="D63">
        <v>4</v>
      </c>
      <c r="E63" t="s">
        <v>504</v>
      </c>
      <c r="F63" t="s">
        <v>14</v>
      </c>
      <c r="G63">
        <v>0</v>
      </c>
      <c r="H63">
        <v>167</v>
      </c>
      <c r="I63">
        <v>0</v>
      </c>
      <c r="J63" t="s">
        <v>463</v>
      </c>
    </row>
    <row r="64" spans="1:10" x14ac:dyDescent="0.25">
      <c r="A64">
        <v>41</v>
      </c>
      <c r="B64" t="s">
        <v>511</v>
      </c>
      <c r="C64" t="s">
        <v>19</v>
      </c>
      <c r="D64">
        <v>11</v>
      </c>
      <c r="E64" t="s">
        <v>469</v>
      </c>
      <c r="F64" t="s">
        <v>25</v>
      </c>
      <c r="G64">
        <v>0</v>
      </c>
      <c r="H64">
        <v>271</v>
      </c>
      <c r="I64">
        <v>0</v>
      </c>
      <c r="J64" t="s">
        <v>463</v>
      </c>
    </row>
    <row r="65" spans="1:10" x14ac:dyDescent="0.25">
      <c r="A65">
        <v>41</v>
      </c>
      <c r="B65" t="s">
        <v>511</v>
      </c>
      <c r="C65" t="s">
        <v>19</v>
      </c>
      <c r="D65">
        <v>28</v>
      </c>
      <c r="E65" t="s">
        <v>477</v>
      </c>
      <c r="F65" t="s">
        <v>25</v>
      </c>
      <c r="G65">
        <v>0</v>
      </c>
      <c r="H65">
        <v>237</v>
      </c>
      <c r="I65">
        <v>0</v>
      </c>
      <c r="J65" t="s">
        <v>463</v>
      </c>
    </row>
    <row r="66" spans="1:10" x14ac:dyDescent="0.25">
      <c r="A66">
        <v>41</v>
      </c>
      <c r="B66" t="s">
        <v>511</v>
      </c>
      <c r="C66" t="s">
        <v>19</v>
      </c>
      <c r="D66">
        <v>29</v>
      </c>
      <c r="E66" t="s">
        <v>472</v>
      </c>
      <c r="F66" t="s">
        <v>23</v>
      </c>
      <c r="G66">
        <v>0</v>
      </c>
      <c r="H66">
        <v>172</v>
      </c>
      <c r="I66">
        <v>0</v>
      </c>
      <c r="J66" t="s">
        <v>463</v>
      </c>
    </row>
    <row r="67" spans="1:10" x14ac:dyDescent="0.25">
      <c r="A67">
        <v>42</v>
      </c>
      <c r="B67" t="s">
        <v>512</v>
      </c>
      <c r="C67" t="s">
        <v>26</v>
      </c>
      <c r="D67">
        <v>16</v>
      </c>
      <c r="E67" t="s">
        <v>513</v>
      </c>
      <c r="F67" t="s">
        <v>14</v>
      </c>
      <c r="G67">
        <v>0</v>
      </c>
      <c r="H67">
        <v>354</v>
      </c>
      <c r="I67">
        <v>0</v>
      </c>
      <c r="J67" t="s">
        <v>463</v>
      </c>
    </row>
    <row r="68" spans="1:10" x14ac:dyDescent="0.25">
      <c r="A68">
        <v>42</v>
      </c>
      <c r="B68" t="s">
        <v>512</v>
      </c>
      <c r="C68" t="s">
        <v>26</v>
      </c>
      <c r="D68">
        <v>28</v>
      </c>
      <c r="E68" t="s">
        <v>477</v>
      </c>
      <c r="F68" t="s">
        <v>25</v>
      </c>
      <c r="G68">
        <v>0</v>
      </c>
      <c r="H68">
        <v>105</v>
      </c>
      <c r="I68">
        <v>0</v>
      </c>
      <c r="J68" t="s">
        <v>463</v>
      </c>
    </row>
    <row r="69" spans="1:10" x14ac:dyDescent="0.25">
      <c r="A69">
        <v>44</v>
      </c>
      <c r="B69" t="s">
        <v>514</v>
      </c>
      <c r="C69" t="s">
        <v>21</v>
      </c>
      <c r="D69">
        <v>1</v>
      </c>
      <c r="E69" t="s">
        <v>466</v>
      </c>
      <c r="F69" t="s">
        <v>23</v>
      </c>
      <c r="G69">
        <v>0</v>
      </c>
      <c r="H69">
        <v>1535</v>
      </c>
      <c r="I69">
        <v>0</v>
      </c>
      <c r="J69" t="s">
        <v>463</v>
      </c>
    </row>
    <row r="70" spans="1:10" x14ac:dyDescent="0.25">
      <c r="A70">
        <v>44</v>
      </c>
      <c r="B70" t="s">
        <v>514</v>
      </c>
      <c r="C70" t="s">
        <v>21</v>
      </c>
      <c r="D70">
        <v>11</v>
      </c>
      <c r="E70" t="s">
        <v>469</v>
      </c>
      <c r="F70" t="s">
        <v>25</v>
      </c>
      <c r="G70">
        <v>0</v>
      </c>
      <c r="H70">
        <v>186</v>
      </c>
      <c r="I70">
        <v>0</v>
      </c>
      <c r="J70" t="s">
        <v>463</v>
      </c>
    </row>
    <row r="71" spans="1:10" x14ac:dyDescent="0.25">
      <c r="A71">
        <v>45</v>
      </c>
      <c r="B71" t="s">
        <v>515</v>
      </c>
      <c r="C71" t="s">
        <v>26</v>
      </c>
      <c r="D71">
        <v>9</v>
      </c>
      <c r="E71" t="s">
        <v>468</v>
      </c>
      <c r="F71" t="s">
        <v>23</v>
      </c>
      <c r="G71">
        <v>0</v>
      </c>
      <c r="H71">
        <v>1025</v>
      </c>
      <c r="I71">
        <v>0</v>
      </c>
      <c r="J71" t="s">
        <v>463</v>
      </c>
    </row>
    <row r="72" spans="1:10" x14ac:dyDescent="0.25">
      <c r="A72">
        <v>45</v>
      </c>
      <c r="B72" t="s">
        <v>515</v>
      </c>
      <c r="C72" t="s">
        <v>26</v>
      </c>
      <c r="D72">
        <v>28</v>
      </c>
      <c r="E72" t="s">
        <v>477</v>
      </c>
      <c r="F72" t="s">
        <v>25</v>
      </c>
      <c r="G72">
        <v>0</v>
      </c>
      <c r="H72">
        <v>24</v>
      </c>
      <c r="I72">
        <v>0</v>
      </c>
      <c r="J72" t="s">
        <v>463</v>
      </c>
    </row>
    <row r="73" spans="1:10" x14ac:dyDescent="0.25">
      <c r="A73">
        <v>44</v>
      </c>
      <c r="B73" t="s">
        <v>514</v>
      </c>
      <c r="C73" t="s">
        <v>21</v>
      </c>
      <c r="D73">
        <v>33</v>
      </c>
      <c r="E73" t="s">
        <v>490</v>
      </c>
      <c r="F73" t="s">
        <v>23</v>
      </c>
      <c r="G73">
        <v>0</v>
      </c>
      <c r="H73">
        <v>193</v>
      </c>
      <c r="I73">
        <v>0</v>
      </c>
      <c r="J73" t="s">
        <v>463</v>
      </c>
    </row>
    <row r="74" spans="1:10" x14ac:dyDescent="0.25">
      <c r="A74">
        <v>48</v>
      </c>
      <c r="B74" t="s">
        <v>516</v>
      </c>
      <c r="C74" t="s">
        <v>26</v>
      </c>
      <c r="D74">
        <v>33</v>
      </c>
      <c r="E74" t="s">
        <v>490</v>
      </c>
      <c r="F74" t="s">
        <v>23</v>
      </c>
      <c r="G74">
        <v>0</v>
      </c>
      <c r="H74">
        <v>55</v>
      </c>
      <c r="I74">
        <v>0</v>
      </c>
      <c r="J74" t="s">
        <v>463</v>
      </c>
    </row>
    <row r="75" spans="1:10" x14ac:dyDescent="0.25">
      <c r="A75">
        <v>49</v>
      </c>
      <c r="B75" t="s">
        <v>517</v>
      </c>
      <c r="C75" t="s">
        <v>19</v>
      </c>
      <c r="D75">
        <v>2</v>
      </c>
      <c r="E75" t="s">
        <v>462</v>
      </c>
      <c r="F75" t="s">
        <v>23</v>
      </c>
      <c r="G75">
        <v>0</v>
      </c>
      <c r="H75">
        <v>693</v>
      </c>
      <c r="I75">
        <v>0</v>
      </c>
      <c r="J75" t="s">
        <v>463</v>
      </c>
    </row>
    <row r="76" spans="1:10" x14ac:dyDescent="0.25">
      <c r="A76">
        <v>49</v>
      </c>
      <c r="B76" t="s">
        <v>517</v>
      </c>
      <c r="C76" t="s">
        <v>19</v>
      </c>
      <c r="D76">
        <v>15</v>
      </c>
      <c r="E76" t="s">
        <v>471</v>
      </c>
      <c r="F76" t="s">
        <v>23</v>
      </c>
      <c r="G76">
        <v>0</v>
      </c>
      <c r="H76">
        <v>379</v>
      </c>
      <c r="I76">
        <v>0</v>
      </c>
      <c r="J76" t="s">
        <v>463</v>
      </c>
    </row>
    <row r="77" spans="1:10" x14ac:dyDescent="0.25">
      <c r="A77">
        <v>50</v>
      </c>
      <c r="B77" t="s">
        <v>518</v>
      </c>
      <c r="C77" t="s">
        <v>21</v>
      </c>
      <c r="D77">
        <v>12</v>
      </c>
      <c r="E77" t="s">
        <v>475</v>
      </c>
      <c r="F77" t="s">
        <v>28</v>
      </c>
      <c r="G77">
        <v>0</v>
      </c>
      <c r="H77">
        <v>176</v>
      </c>
      <c r="I77">
        <v>0</v>
      </c>
      <c r="J77" t="s">
        <v>463</v>
      </c>
    </row>
    <row r="78" spans="1:10" x14ac:dyDescent="0.25">
      <c r="A78">
        <v>50</v>
      </c>
      <c r="B78" t="s">
        <v>518</v>
      </c>
      <c r="C78" t="s">
        <v>21</v>
      </c>
      <c r="D78">
        <v>28</v>
      </c>
      <c r="E78" t="s">
        <v>477</v>
      </c>
      <c r="F78" t="s">
        <v>25</v>
      </c>
      <c r="G78">
        <v>0</v>
      </c>
      <c r="H78">
        <v>91</v>
      </c>
      <c r="I78">
        <v>0</v>
      </c>
      <c r="J78" t="s">
        <v>463</v>
      </c>
    </row>
    <row r="79" spans="1:10" x14ac:dyDescent="0.25">
      <c r="A79">
        <v>27</v>
      </c>
      <c r="B79" t="s">
        <v>497</v>
      </c>
      <c r="C79" t="s">
        <v>19</v>
      </c>
      <c r="D79">
        <v>26</v>
      </c>
      <c r="E79" t="s">
        <v>519</v>
      </c>
      <c r="F79" t="s">
        <v>25</v>
      </c>
      <c r="G79">
        <v>6</v>
      </c>
      <c r="H79">
        <v>0</v>
      </c>
      <c r="I79">
        <v>9999</v>
      </c>
      <c r="J79" t="s">
        <v>520</v>
      </c>
    </row>
    <row r="80" spans="1:10" x14ac:dyDescent="0.25">
      <c r="A80">
        <v>29</v>
      </c>
      <c r="B80" t="s">
        <v>521</v>
      </c>
      <c r="C80" t="s">
        <v>26</v>
      </c>
      <c r="D80">
        <v>33</v>
      </c>
      <c r="E80" t="s">
        <v>490</v>
      </c>
      <c r="F80" t="s">
        <v>23</v>
      </c>
      <c r="G80">
        <v>6</v>
      </c>
      <c r="H80">
        <v>0</v>
      </c>
      <c r="I80">
        <v>9999</v>
      </c>
      <c r="J80" t="s">
        <v>520</v>
      </c>
    </row>
    <row r="81" spans="1:10" x14ac:dyDescent="0.25">
      <c r="A81">
        <v>14</v>
      </c>
      <c r="B81" t="s">
        <v>485</v>
      </c>
      <c r="C81" t="s">
        <v>19</v>
      </c>
      <c r="D81">
        <v>26</v>
      </c>
      <c r="E81" t="s">
        <v>519</v>
      </c>
      <c r="F81" t="s">
        <v>25</v>
      </c>
      <c r="G81">
        <v>3</v>
      </c>
      <c r="H81">
        <v>0</v>
      </c>
      <c r="I81">
        <v>9999</v>
      </c>
      <c r="J81" t="s">
        <v>520</v>
      </c>
    </row>
    <row r="82" spans="1:10" x14ac:dyDescent="0.25">
      <c r="A82">
        <v>15</v>
      </c>
      <c r="B82" t="s">
        <v>486</v>
      </c>
      <c r="C82" t="s">
        <v>19</v>
      </c>
      <c r="D82">
        <v>19</v>
      </c>
      <c r="E82" t="s">
        <v>522</v>
      </c>
      <c r="F82" t="s">
        <v>25</v>
      </c>
      <c r="G82">
        <v>63</v>
      </c>
      <c r="H82">
        <v>1218</v>
      </c>
      <c r="I82">
        <v>32.9</v>
      </c>
      <c r="J82" t="s">
        <v>523</v>
      </c>
    </row>
    <row r="83" spans="1:10" x14ac:dyDescent="0.25">
      <c r="A83">
        <v>15</v>
      </c>
      <c r="B83" t="s">
        <v>486</v>
      </c>
      <c r="C83" t="s">
        <v>19</v>
      </c>
      <c r="D83">
        <v>21</v>
      </c>
      <c r="E83" t="s">
        <v>476</v>
      </c>
      <c r="F83" t="s">
        <v>28</v>
      </c>
      <c r="G83">
        <v>12</v>
      </c>
      <c r="H83">
        <v>1442</v>
      </c>
      <c r="I83">
        <v>5.3</v>
      </c>
      <c r="J83" t="s">
        <v>523</v>
      </c>
    </row>
    <row r="84" spans="1:10" x14ac:dyDescent="0.25">
      <c r="A84">
        <v>15</v>
      </c>
      <c r="B84" t="s">
        <v>486</v>
      </c>
      <c r="C84" t="s">
        <v>19</v>
      </c>
      <c r="D84">
        <v>24</v>
      </c>
      <c r="E84" t="s">
        <v>524</v>
      </c>
      <c r="F84" t="s">
        <v>28</v>
      </c>
      <c r="G84">
        <v>35</v>
      </c>
      <c r="H84">
        <v>646</v>
      </c>
      <c r="I84">
        <v>34.5</v>
      </c>
      <c r="J84" t="s">
        <v>523</v>
      </c>
    </row>
    <row r="85" spans="1:10" x14ac:dyDescent="0.25">
      <c r="A85">
        <v>15</v>
      </c>
      <c r="B85" t="s">
        <v>486</v>
      </c>
      <c r="C85" t="s">
        <v>19</v>
      </c>
      <c r="D85">
        <v>25</v>
      </c>
      <c r="E85" t="s">
        <v>525</v>
      </c>
      <c r="F85" t="s">
        <v>25</v>
      </c>
      <c r="G85">
        <v>43</v>
      </c>
      <c r="H85">
        <v>1654</v>
      </c>
      <c r="I85">
        <v>16.600000000000001</v>
      </c>
      <c r="J85" t="s">
        <v>523</v>
      </c>
    </row>
    <row r="86" spans="1:10" x14ac:dyDescent="0.25">
      <c r="A86">
        <v>15</v>
      </c>
      <c r="B86" t="s">
        <v>486</v>
      </c>
      <c r="C86" t="s">
        <v>19</v>
      </c>
      <c r="D86">
        <v>27</v>
      </c>
      <c r="E86" t="s">
        <v>526</v>
      </c>
      <c r="F86" t="s">
        <v>25</v>
      </c>
      <c r="G86">
        <v>26</v>
      </c>
      <c r="H86">
        <v>565</v>
      </c>
      <c r="I86">
        <v>29.3</v>
      </c>
      <c r="J86" t="s">
        <v>523</v>
      </c>
    </row>
    <row r="87" spans="1:10" x14ac:dyDescent="0.25">
      <c r="A87">
        <v>15</v>
      </c>
      <c r="B87" t="s">
        <v>486</v>
      </c>
      <c r="C87" t="s">
        <v>19</v>
      </c>
      <c r="D87">
        <v>33</v>
      </c>
      <c r="E87" t="s">
        <v>490</v>
      </c>
      <c r="F87" t="s">
        <v>23</v>
      </c>
      <c r="G87">
        <v>8</v>
      </c>
      <c r="H87">
        <v>156</v>
      </c>
      <c r="I87">
        <v>32.700000000000003</v>
      </c>
      <c r="J87" t="s">
        <v>523</v>
      </c>
    </row>
    <row r="88" spans="1:10" x14ac:dyDescent="0.25">
      <c r="A88">
        <v>15</v>
      </c>
      <c r="B88" t="s">
        <v>486</v>
      </c>
      <c r="C88" t="s">
        <v>19</v>
      </c>
      <c r="D88">
        <v>34</v>
      </c>
      <c r="E88" t="s">
        <v>467</v>
      </c>
      <c r="F88" t="s">
        <v>17</v>
      </c>
      <c r="G88">
        <v>7</v>
      </c>
      <c r="H88">
        <v>198</v>
      </c>
      <c r="I88">
        <v>22.5</v>
      </c>
      <c r="J88" t="s">
        <v>523</v>
      </c>
    </row>
    <row r="89" spans="1:10" x14ac:dyDescent="0.25">
      <c r="A89">
        <v>16</v>
      </c>
      <c r="B89" t="s">
        <v>487</v>
      </c>
      <c r="C89" t="s">
        <v>19</v>
      </c>
      <c r="D89">
        <v>1</v>
      </c>
      <c r="E89" t="s">
        <v>466</v>
      </c>
      <c r="F89" t="s">
        <v>23</v>
      </c>
      <c r="G89">
        <v>13</v>
      </c>
      <c r="H89">
        <v>940</v>
      </c>
      <c r="I89">
        <v>8.8000000000000007</v>
      </c>
      <c r="J89" t="s">
        <v>523</v>
      </c>
    </row>
    <row r="90" spans="1:10" x14ac:dyDescent="0.25">
      <c r="A90">
        <v>16</v>
      </c>
      <c r="B90" t="s">
        <v>487</v>
      </c>
      <c r="C90" t="s">
        <v>19</v>
      </c>
      <c r="D90">
        <v>2</v>
      </c>
      <c r="E90" t="s">
        <v>462</v>
      </c>
      <c r="F90" t="s">
        <v>23</v>
      </c>
      <c r="G90">
        <v>28</v>
      </c>
      <c r="H90">
        <v>718</v>
      </c>
      <c r="I90">
        <v>24.8</v>
      </c>
      <c r="J90" t="s">
        <v>523</v>
      </c>
    </row>
    <row r="91" spans="1:10" x14ac:dyDescent="0.25">
      <c r="A91">
        <v>16</v>
      </c>
      <c r="B91" t="s">
        <v>487</v>
      </c>
      <c r="C91" t="s">
        <v>19</v>
      </c>
      <c r="D91">
        <v>3</v>
      </c>
      <c r="E91" t="s">
        <v>493</v>
      </c>
      <c r="F91" t="s">
        <v>25</v>
      </c>
      <c r="G91">
        <v>37</v>
      </c>
      <c r="H91">
        <v>1830</v>
      </c>
      <c r="I91">
        <v>12.9</v>
      </c>
      <c r="J91" t="s">
        <v>523</v>
      </c>
    </row>
    <row r="92" spans="1:10" x14ac:dyDescent="0.25">
      <c r="A92">
        <v>16</v>
      </c>
      <c r="B92" t="s">
        <v>487</v>
      </c>
      <c r="C92" t="s">
        <v>19</v>
      </c>
      <c r="D92">
        <v>6</v>
      </c>
      <c r="E92" t="s">
        <v>527</v>
      </c>
      <c r="F92" t="s">
        <v>17</v>
      </c>
      <c r="G92">
        <v>27</v>
      </c>
      <c r="H92">
        <v>1470</v>
      </c>
      <c r="I92">
        <v>11.7</v>
      </c>
      <c r="J92" t="s">
        <v>523</v>
      </c>
    </row>
    <row r="93" spans="1:10" x14ac:dyDescent="0.25">
      <c r="A93">
        <v>16</v>
      </c>
      <c r="B93" t="s">
        <v>487</v>
      </c>
      <c r="C93" t="s">
        <v>19</v>
      </c>
      <c r="D93">
        <v>7</v>
      </c>
      <c r="E93" t="s">
        <v>528</v>
      </c>
      <c r="F93" t="s">
        <v>28</v>
      </c>
      <c r="G93">
        <v>19</v>
      </c>
      <c r="H93">
        <v>729</v>
      </c>
      <c r="I93">
        <v>16.600000000000001</v>
      </c>
      <c r="J93" t="s">
        <v>523</v>
      </c>
    </row>
    <row r="94" spans="1:10" x14ac:dyDescent="0.25">
      <c r="A94">
        <v>16</v>
      </c>
      <c r="B94" t="s">
        <v>487</v>
      </c>
      <c r="C94" t="s">
        <v>19</v>
      </c>
      <c r="D94">
        <v>8</v>
      </c>
      <c r="E94" t="s">
        <v>529</v>
      </c>
      <c r="F94" t="s">
        <v>14</v>
      </c>
      <c r="G94">
        <v>18</v>
      </c>
      <c r="H94">
        <v>1420</v>
      </c>
      <c r="I94">
        <v>8.1</v>
      </c>
      <c r="J94" t="s">
        <v>523</v>
      </c>
    </row>
    <row r="95" spans="1:10" x14ac:dyDescent="0.25">
      <c r="A95">
        <v>16</v>
      </c>
      <c r="B95" t="s">
        <v>487</v>
      </c>
      <c r="C95" t="s">
        <v>19</v>
      </c>
      <c r="D95">
        <v>9</v>
      </c>
      <c r="E95" t="s">
        <v>468</v>
      </c>
      <c r="F95" t="s">
        <v>23</v>
      </c>
      <c r="G95">
        <v>8</v>
      </c>
      <c r="H95">
        <v>765</v>
      </c>
      <c r="I95">
        <v>6.7</v>
      </c>
      <c r="J95" t="s">
        <v>523</v>
      </c>
    </row>
    <row r="96" spans="1:10" x14ac:dyDescent="0.25">
      <c r="A96">
        <v>15</v>
      </c>
      <c r="B96" t="s">
        <v>486</v>
      </c>
      <c r="C96" t="s">
        <v>19</v>
      </c>
      <c r="D96">
        <v>30</v>
      </c>
      <c r="E96" t="s">
        <v>530</v>
      </c>
      <c r="F96" t="s">
        <v>14</v>
      </c>
      <c r="G96">
        <v>13</v>
      </c>
      <c r="H96">
        <v>987</v>
      </c>
      <c r="I96">
        <v>8.4</v>
      </c>
      <c r="J96" t="s">
        <v>523</v>
      </c>
    </row>
    <row r="97" spans="1:10" x14ac:dyDescent="0.25">
      <c r="A97">
        <v>15</v>
      </c>
      <c r="B97" t="s">
        <v>486</v>
      </c>
      <c r="C97" t="s">
        <v>19</v>
      </c>
      <c r="D97">
        <v>31</v>
      </c>
      <c r="E97" t="s">
        <v>496</v>
      </c>
      <c r="F97" t="s">
        <v>28</v>
      </c>
      <c r="G97">
        <v>4</v>
      </c>
      <c r="H97">
        <v>930</v>
      </c>
      <c r="I97">
        <v>2.7</v>
      </c>
      <c r="J97" t="s">
        <v>523</v>
      </c>
    </row>
    <row r="98" spans="1:10" x14ac:dyDescent="0.25">
      <c r="A98">
        <v>16</v>
      </c>
      <c r="B98" t="s">
        <v>487</v>
      </c>
      <c r="C98" t="s">
        <v>19</v>
      </c>
      <c r="D98">
        <v>11</v>
      </c>
      <c r="E98" t="s">
        <v>469</v>
      </c>
      <c r="F98" t="s">
        <v>25</v>
      </c>
      <c r="G98">
        <v>12</v>
      </c>
      <c r="H98">
        <v>303</v>
      </c>
      <c r="I98">
        <v>25.2</v>
      </c>
      <c r="J98" t="s">
        <v>523</v>
      </c>
    </row>
    <row r="99" spans="1:10" x14ac:dyDescent="0.25">
      <c r="A99">
        <v>16</v>
      </c>
      <c r="B99" t="s">
        <v>487</v>
      </c>
      <c r="C99" t="s">
        <v>19</v>
      </c>
      <c r="D99">
        <v>13</v>
      </c>
      <c r="E99" t="s">
        <v>481</v>
      </c>
      <c r="F99" t="s">
        <v>17</v>
      </c>
      <c r="G99">
        <v>5</v>
      </c>
      <c r="H99">
        <v>325</v>
      </c>
      <c r="I99">
        <v>9.8000000000000007</v>
      </c>
      <c r="J99" t="s">
        <v>523</v>
      </c>
    </row>
    <row r="100" spans="1:10" x14ac:dyDescent="0.25">
      <c r="A100">
        <v>16</v>
      </c>
      <c r="B100" t="s">
        <v>487</v>
      </c>
      <c r="C100" t="s">
        <v>19</v>
      </c>
      <c r="D100">
        <v>14</v>
      </c>
      <c r="E100" t="s">
        <v>482</v>
      </c>
      <c r="F100" t="s">
        <v>14</v>
      </c>
      <c r="G100">
        <v>19</v>
      </c>
      <c r="H100">
        <v>444</v>
      </c>
      <c r="I100">
        <v>27.3</v>
      </c>
      <c r="J100" t="s">
        <v>523</v>
      </c>
    </row>
    <row r="101" spans="1:10" x14ac:dyDescent="0.25">
      <c r="A101">
        <v>16</v>
      </c>
      <c r="B101" t="s">
        <v>487</v>
      </c>
      <c r="C101" t="s">
        <v>19</v>
      </c>
      <c r="D101">
        <v>15</v>
      </c>
      <c r="E101" t="s">
        <v>471</v>
      </c>
      <c r="F101" t="s">
        <v>23</v>
      </c>
      <c r="G101">
        <v>1</v>
      </c>
      <c r="H101">
        <v>349</v>
      </c>
      <c r="I101">
        <v>1.8</v>
      </c>
      <c r="J101" t="s">
        <v>523</v>
      </c>
    </row>
    <row r="102" spans="1:10" x14ac:dyDescent="0.25">
      <c r="A102">
        <v>16</v>
      </c>
      <c r="B102" t="s">
        <v>487</v>
      </c>
      <c r="C102" t="s">
        <v>19</v>
      </c>
      <c r="D102">
        <v>17</v>
      </c>
      <c r="E102" t="s">
        <v>531</v>
      </c>
      <c r="F102" t="s">
        <v>25</v>
      </c>
      <c r="G102">
        <v>14</v>
      </c>
      <c r="H102">
        <v>554</v>
      </c>
      <c r="I102">
        <v>16.100000000000001</v>
      </c>
      <c r="J102" t="s">
        <v>523</v>
      </c>
    </row>
    <row r="103" spans="1:10" x14ac:dyDescent="0.25">
      <c r="A103">
        <v>16</v>
      </c>
      <c r="B103" t="s">
        <v>487</v>
      </c>
      <c r="C103" t="s">
        <v>19</v>
      </c>
      <c r="D103">
        <v>18</v>
      </c>
      <c r="E103" t="s">
        <v>532</v>
      </c>
      <c r="F103" t="s">
        <v>23</v>
      </c>
      <c r="G103">
        <v>27</v>
      </c>
      <c r="H103">
        <v>1295</v>
      </c>
      <c r="I103">
        <v>13.3</v>
      </c>
      <c r="J103" t="s">
        <v>523</v>
      </c>
    </row>
    <row r="104" spans="1:10" x14ac:dyDescent="0.25">
      <c r="A104">
        <v>16</v>
      </c>
      <c r="B104" t="s">
        <v>487</v>
      </c>
      <c r="C104" t="s">
        <v>19</v>
      </c>
      <c r="D104">
        <v>19</v>
      </c>
      <c r="E104" t="s">
        <v>522</v>
      </c>
      <c r="F104" t="s">
        <v>25</v>
      </c>
      <c r="G104">
        <v>29</v>
      </c>
      <c r="H104">
        <v>1570</v>
      </c>
      <c r="I104">
        <v>11.8</v>
      </c>
      <c r="J104" t="s">
        <v>523</v>
      </c>
    </row>
    <row r="105" spans="1:10" x14ac:dyDescent="0.25">
      <c r="A105">
        <v>16</v>
      </c>
      <c r="B105" t="s">
        <v>487</v>
      </c>
      <c r="C105" t="s">
        <v>19</v>
      </c>
      <c r="D105">
        <v>20</v>
      </c>
      <c r="E105" t="s">
        <v>533</v>
      </c>
      <c r="F105" t="s">
        <v>28</v>
      </c>
      <c r="G105">
        <v>2</v>
      </c>
      <c r="H105">
        <v>85</v>
      </c>
      <c r="I105">
        <v>15</v>
      </c>
      <c r="J105" t="s">
        <v>523</v>
      </c>
    </row>
    <row r="106" spans="1:10" x14ac:dyDescent="0.25">
      <c r="A106">
        <v>16</v>
      </c>
      <c r="B106" t="s">
        <v>487</v>
      </c>
      <c r="C106" t="s">
        <v>19</v>
      </c>
      <c r="D106">
        <v>23</v>
      </c>
      <c r="E106" t="s">
        <v>506</v>
      </c>
      <c r="F106" t="s">
        <v>23</v>
      </c>
      <c r="G106">
        <v>2</v>
      </c>
      <c r="H106">
        <v>113</v>
      </c>
      <c r="I106">
        <v>11.3</v>
      </c>
      <c r="J106" t="s">
        <v>523</v>
      </c>
    </row>
    <row r="107" spans="1:10" x14ac:dyDescent="0.25">
      <c r="A107">
        <v>16</v>
      </c>
      <c r="B107" t="s">
        <v>487</v>
      </c>
      <c r="C107" t="s">
        <v>19</v>
      </c>
      <c r="D107">
        <v>24</v>
      </c>
      <c r="E107" t="s">
        <v>524</v>
      </c>
      <c r="F107" t="s">
        <v>28</v>
      </c>
      <c r="G107">
        <v>6</v>
      </c>
      <c r="H107">
        <v>244</v>
      </c>
      <c r="I107">
        <v>15.7</v>
      </c>
      <c r="J107" t="s">
        <v>523</v>
      </c>
    </row>
    <row r="108" spans="1:10" x14ac:dyDescent="0.25">
      <c r="A108">
        <v>16</v>
      </c>
      <c r="B108" t="s">
        <v>487</v>
      </c>
      <c r="C108" t="s">
        <v>19</v>
      </c>
      <c r="D108">
        <v>25</v>
      </c>
      <c r="E108" t="s">
        <v>525</v>
      </c>
      <c r="F108" t="s">
        <v>25</v>
      </c>
      <c r="G108">
        <v>37</v>
      </c>
      <c r="H108">
        <v>2204</v>
      </c>
      <c r="I108">
        <v>10.7</v>
      </c>
      <c r="J108" t="s">
        <v>523</v>
      </c>
    </row>
    <row r="109" spans="1:10" x14ac:dyDescent="0.25">
      <c r="A109">
        <v>15</v>
      </c>
      <c r="B109" t="s">
        <v>486</v>
      </c>
      <c r="C109" t="s">
        <v>19</v>
      </c>
      <c r="D109">
        <v>13</v>
      </c>
      <c r="E109" t="s">
        <v>481</v>
      </c>
      <c r="F109" t="s">
        <v>17</v>
      </c>
      <c r="G109">
        <v>13</v>
      </c>
      <c r="H109">
        <v>252</v>
      </c>
      <c r="I109">
        <v>32.9</v>
      </c>
      <c r="J109" t="s">
        <v>523</v>
      </c>
    </row>
    <row r="110" spans="1:10" x14ac:dyDescent="0.25">
      <c r="A110">
        <v>15</v>
      </c>
      <c r="B110" t="s">
        <v>486</v>
      </c>
      <c r="C110" t="s">
        <v>19</v>
      </c>
      <c r="D110">
        <v>14</v>
      </c>
      <c r="E110" t="s">
        <v>482</v>
      </c>
      <c r="F110" t="s">
        <v>14</v>
      </c>
      <c r="G110">
        <v>20</v>
      </c>
      <c r="H110">
        <v>454</v>
      </c>
      <c r="I110">
        <v>28.1</v>
      </c>
      <c r="J110" t="s">
        <v>523</v>
      </c>
    </row>
    <row r="111" spans="1:10" x14ac:dyDescent="0.25">
      <c r="A111">
        <v>15</v>
      </c>
      <c r="B111" t="s">
        <v>486</v>
      </c>
      <c r="C111" t="s">
        <v>19</v>
      </c>
      <c r="D111">
        <v>15</v>
      </c>
      <c r="E111" t="s">
        <v>471</v>
      </c>
      <c r="F111" t="s">
        <v>23</v>
      </c>
      <c r="G111">
        <v>2</v>
      </c>
      <c r="H111">
        <v>302</v>
      </c>
      <c r="I111">
        <v>4.2</v>
      </c>
      <c r="J111" t="s">
        <v>523</v>
      </c>
    </row>
    <row r="112" spans="1:10" x14ac:dyDescent="0.25">
      <c r="A112">
        <v>14</v>
      </c>
      <c r="B112" t="s">
        <v>485</v>
      </c>
      <c r="C112" t="s">
        <v>19</v>
      </c>
      <c r="D112">
        <v>30</v>
      </c>
      <c r="E112" t="s">
        <v>530</v>
      </c>
      <c r="F112" t="s">
        <v>14</v>
      </c>
      <c r="G112">
        <v>10</v>
      </c>
      <c r="H112">
        <v>1060</v>
      </c>
      <c r="I112">
        <v>6</v>
      </c>
      <c r="J112" t="s">
        <v>523</v>
      </c>
    </row>
    <row r="113" spans="1:10" x14ac:dyDescent="0.25">
      <c r="A113">
        <v>14</v>
      </c>
      <c r="B113" t="s">
        <v>485</v>
      </c>
      <c r="C113" t="s">
        <v>19</v>
      </c>
      <c r="D113">
        <v>31</v>
      </c>
      <c r="E113" t="s">
        <v>496</v>
      </c>
      <c r="F113" t="s">
        <v>28</v>
      </c>
      <c r="G113">
        <v>5</v>
      </c>
      <c r="H113">
        <v>855</v>
      </c>
      <c r="I113">
        <v>3.7</v>
      </c>
      <c r="J113" t="s">
        <v>523</v>
      </c>
    </row>
    <row r="114" spans="1:10" x14ac:dyDescent="0.25">
      <c r="A114">
        <v>14</v>
      </c>
      <c r="B114" t="s">
        <v>485</v>
      </c>
      <c r="C114" t="s">
        <v>19</v>
      </c>
      <c r="D114">
        <v>32</v>
      </c>
      <c r="E114" t="s">
        <v>507</v>
      </c>
      <c r="F114" t="s">
        <v>28</v>
      </c>
      <c r="G114">
        <v>2</v>
      </c>
      <c r="H114">
        <v>71</v>
      </c>
      <c r="I114">
        <v>17.899999999999999</v>
      </c>
      <c r="J114" t="s">
        <v>523</v>
      </c>
    </row>
    <row r="115" spans="1:10" x14ac:dyDescent="0.25">
      <c r="A115">
        <v>14</v>
      </c>
      <c r="B115" t="s">
        <v>485</v>
      </c>
      <c r="C115" t="s">
        <v>19</v>
      </c>
      <c r="D115">
        <v>33</v>
      </c>
      <c r="E115" t="s">
        <v>490</v>
      </c>
      <c r="F115" t="s">
        <v>23</v>
      </c>
      <c r="G115">
        <v>2</v>
      </c>
      <c r="H115">
        <v>44</v>
      </c>
      <c r="I115">
        <v>29</v>
      </c>
      <c r="J115" t="s">
        <v>523</v>
      </c>
    </row>
    <row r="116" spans="1:10" x14ac:dyDescent="0.25">
      <c r="A116">
        <v>15</v>
      </c>
      <c r="B116" t="s">
        <v>486</v>
      </c>
      <c r="C116" t="s">
        <v>19</v>
      </c>
      <c r="D116">
        <v>1</v>
      </c>
      <c r="E116" t="s">
        <v>466</v>
      </c>
      <c r="F116" t="s">
        <v>23</v>
      </c>
      <c r="G116">
        <v>24</v>
      </c>
      <c r="H116">
        <v>1558</v>
      </c>
      <c r="I116">
        <v>9.8000000000000007</v>
      </c>
      <c r="J116" t="s">
        <v>523</v>
      </c>
    </row>
    <row r="117" spans="1:10" x14ac:dyDescent="0.25">
      <c r="A117">
        <v>15</v>
      </c>
      <c r="B117" t="s">
        <v>486</v>
      </c>
      <c r="C117" t="s">
        <v>19</v>
      </c>
      <c r="D117">
        <v>2</v>
      </c>
      <c r="E117" t="s">
        <v>462</v>
      </c>
      <c r="F117" t="s">
        <v>23</v>
      </c>
      <c r="G117">
        <v>5</v>
      </c>
      <c r="H117">
        <v>708</v>
      </c>
      <c r="I117">
        <v>4.5</v>
      </c>
      <c r="J117" t="s">
        <v>523</v>
      </c>
    </row>
    <row r="118" spans="1:10" x14ac:dyDescent="0.25">
      <c r="A118">
        <v>15</v>
      </c>
      <c r="B118" t="s">
        <v>486</v>
      </c>
      <c r="C118" t="s">
        <v>19</v>
      </c>
      <c r="D118">
        <v>3</v>
      </c>
      <c r="E118" t="s">
        <v>493</v>
      </c>
      <c r="F118" t="s">
        <v>25</v>
      </c>
      <c r="G118">
        <v>3</v>
      </c>
      <c r="H118">
        <v>2501</v>
      </c>
      <c r="I118">
        <v>0.8</v>
      </c>
      <c r="J118" t="s">
        <v>523</v>
      </c>
    </row>
    <row r="119" spans="1:10" x14ac:dyDescent="0.25">
      <c r="A119">
        <v>15</v>
      </c>
      <c r="B119" t="s">
        <v>486</v>
      </c>
      <c r="C119" t="s">
        <v>19</v>
      </c>
      <c r="D119">
        <v>6</v>
      </c>
      <c r="E119" t="s">
        <v>527</v>
      </c>
      <c r="F119" t="s">
        <v>17</v>
      </c>
      <c r="G119">
        <v>29</v>
      </c>
      <c r="H119">
        <v>1358</v>
      </c>
      <c r="I119">
        <v>13.6</v>
      </c>
      <c r="J119" t="s">
        <v>523</v>
      </c>
    </row>
    <row r="120" spans="1:10" x14ac:dyDescent="0.25">
      <c r="A120">
        <v>15</v>
      </c>
      <c r="B120" t="s">
        <v>486</v>
      </c>
      <c r="C120" t="s">
        <v>19</v>
      </c>
      <c r="D120">
        <v>7</v>
      </c>
      <c r="E120" t="s">
        <v>528</v>
      </c>
      <c r="F120" t="s">
        <v>28</v>
      </c>
      <c r="G120">
        <v>10</v>
      </c>
      <c r="H120">
        <v>616</v>
      </c>
      <c r="I120">
        <v>10.3</v>
      </c>
      <c r="J120" t="s">
        <v>523</v>
      </c>
    </row>
    <row r="121" spans="1:10" x14ac:dyDescent="0.25">
      <c r="A121">
        <v>15</v>
      </c>
      <c r="B121" t="s">
        <v>486</v>
      </c>
      <c r="C121" t="s">
        <v>19</v>
      </c>
      <c r="D121">
        <v>8</v>
      </c>
      <c r="E121" t="s">
        <v>529</v>
      </c>
      <c r="F121" t="s">
        <v>14</v>
      </c>
      <c r="G121">
        <v>40</v>
      </c>
      <c r="H121">
        <v>1590</v>
      </c>
      <c r="I121">
        <v>16</v>
      </c>
      <c r="J121" t="s">
        <v>523</v>
      </c>
    </row>
    <row r="122" spans="1:10" x14ac:dyDescent="0.25">
      <c r="A122">
        <v>15</v>
      </c>
      <c r="B122" t="s">
        <v>486</v>
      </c>
      <c r="C122" t="s">
        <v>19</v>
      </c>
      <c r="D122">
        <v>9</v>
      </c>
      <c r="E122" t="s">
        <v>468</v>
      </c>
      <c r="F122" t="s">
        <v>23</v>
      </c>
      <c r="G122">
        <v>26</v>
      </c>
      <c r="H122">
        <v>822</v>
      </c>
      <c r="I122">
        <v>20.100000000000001</v>
      </c>
      <c r="J122" t="s">
        <v>523</v>
      </c>
    </row>
    <row r="123" spans="1:10" x14ac:dyDescent="0.25">
      <c r="A123">
        <v>14</v>
      </c>
      <c r="B123" t="s">
        <v>485</v>
      </c>
      <c r="C123" t="s">
        <v>19</v>
      </c>
      <c r="D123">
        <v>24</v>
      </c>
      <c r="E123" t="s">
        <v>524</v>
      </c>
      <c r="F123" t="s">
        <v>28</v>
      </c>
      <c r="G123">
        <v>10</v>
      </c>
      <c r="H123">
        <v>655</v>
      </c>
      <c r="I123">
        <v>9.6999999999999993</v>
      </c>
      <c r="J123" t="s">
        <v>523</v>
      </c>
    </row>
    <row r="124" spans="1:10" x14ac:dyDescent="0.25">
      <c r="A124">
        <v>14</v>
      </c>
      <c r="B124" t="s">
        <v>485</v>
      </c>
      <c r="C124" t="s">
        <v>19</v>
      </c>
      <c r="D124">
        <v>25</v>
      </c>
      <c r="E124" t="s">
        <v>525</v>
      </c>
      <c r="F124" t="s">
        <v>25</v>
      </c>
      <c r="G124">
        <v>15</v>
      </c>
      <c r="H124">
        <v>3690</v>
      </c>
      <c r="I124">
        <v>2.6</v>
      </c>
      <c r="J124" t="s">
        <v>523</v>
      </c>
    </row>
    <row r="125" spans="1:10" x14ac:dyDescent="0.25">
      <c r="A125">
        <v>14</v>
      </c>
      <c r="B125" t="s">
        <v>485</v>
      </c>
      <c r="C125" t="s">
        <v>19</v>
      </c>
      <c r="D125">
        <v>17</v>
      </c>
      <c r="E125" t="s">
        <v>531</v>
      </c>
      <c r="F125" t="s">
        <v>25</v>
      </c>
      <c r="G125">
        <v>14</v>
      </c>
      <c r="H125">
        <v>387</v>
      </c>
      <c r="I125">
        <v>23</v>
      </c>
      <c r="J125" t="s">
        <v>523</v>
      </c>
    </row>
    <row r="126" spans="1:10" x14ac:dyDescent="0.25">
      <c r="A126">
        <v>14</v>
      </c>
      <c r="B126" t="s">
        <v>485</v>
      </c>
      <c r="C126" t="s">
        <v>19</v>
      </c>
      <c r="D126">
        <v>18</v>
      </c>
      <c r="E126" t="s">
        <v>532</v>
      </c>
      <c r="F126" t="s">
        <v>23</v>
      </c>
      <c r="G126">
        <v>7</v>
      </c>
      <c r="H126">
        <v>1726</v>
      </c>
      <c r="I126">
        <v>2.6</v>
      </c>
      <c r="J126" t="s">
        <v>523</v>
      </c>
    </row>
    <row r="127" spans="1:10" x14ac:dyDescent="0.25">
      <c r="A127">
        <v>13</v>
      </c>
      <c r="B127" t="s">
        <v>484</v>
      </c>
      <c r="C127" t="s">
        <v>19</v>
      </c>
      <c r="D127">
        <v>33</v>
      </c>
      <c r="E127" t="s">
        <v>490</v>
      </c>
      <c r="F127" t="s">
        <v>23</v>
      </c>
      <c r="G127">
        <v>3</v>
      </c>
      <c r="H127">
        <v>195</v>
      </c>
      <c r="I127">
        <v>9.8000000000000007</v>
      </c>
      <c r="J127" t="s">
        <v>523</v>
      </c>
    </row>
    <row r="128" spans="1:10" x14ac:dyDescent="0.25">
      <c r="A128">
        <v>13</v>
      </c>
      <c r="B128" t="s">
        <v>484</v>
      </c>
      <c r="C128" t="s">
        <v>19</v>
      </c>
      <c r="D128">
        <v>34</v>
      </c>
      <c r="E128" t="s">
        <v>467</v>
      </c>
      <c r="F128" t="s">
        <v>17</v>
      </c>
      <c r="G128">
        <v>3</v>
      </c>
      <c r="H128">
        <v>396</v>
      </c>
      <c r="I128">
        <v>4.8</v>
      </c>
      <c r="J128" t="s">
        <v>523</v>
      </c>
    </row>
    <row r="129" spans="1:10" x14ac:dyDescent="0.25">
      <c r="A129">
        <v>14</v>
      </c>
      <c r="B129" t="s">
        <v>485</v>
      </c>
      <c r="C129" t="s">
        <v>19</v>
      </c>
      <c r="D129">
        <v>1</v>
      </c>
      <c r="E129" t="s">
        <v>466</v>
      </c>
      <c r="F129" t="s">
        <v>23</v>
      </c>
      <c r="G129">
        <v>21</v>
      </c>
      <c r="H129">
        <v>1231</v>
      </c>
      <c r="I129">
        <v>10.9</v>
      </c>
      <c r="J129" t="s">
        <v>523</v>
      </c>
    </row>
    <row r="130" spans="1:10" x14ac:dyDescent="0.25">
      <c r="A130">
        <v>14</v>
      </c>
      <c r="B130" t="s">
        <v>485</v>
      </c>
      <c r="C130" t="s">
        <v>19</v>
      </c>
      <c r="D130">
        <v>2</v>
      </c>
      <c r="E130" t="s">
        <v>462</v>
      </c>
      <c r="F130" t="s">
        <v>23</v>
      </c>
      <c r="G130">
        <v>5</v>
      </c>
      <c r="H130">
        <v>1381</v>
      </c>
      <c r="I130">
        <v>2.2999999999999998</v>
      </c>
      <c r="J130" t="s">
        <v>523</v>
      </c>
    </row>
    <row r="131" spans="1:10" x14ac:dyDescent="0.25">
      <c r="A131">
        <v>14</v>
      </c>
      <c r="B131" t="s">
        <v>485</v>
      </c>
      <c r="C131" t="s">
        <v>19</v>
      </c>
      <c r="D131">
        <v>3</v>
      </c>
      <c r="E131" t="s">
        <v>493</v>
      </c>
      <c r="F131" t="s">
        <v>25</v>
      </c>
      <c r="G131">
        <v>22</v>
      </c>
      <c r="H131">
        <v>2302</v>
      </c>
      <c r="I131">
        <v>6.1</v>
      </c>
      <c r="J131" t="s">
        <v>523</v>
      </c>
    </row>
    <row r="132" spans="1:10" x14ac:dyDescent="0.25">
      <c r="A132">
        <v>14</v>
      </c>
      <c r="B132" t="s">
        <v>485</v>
      </c>
      <c r="C132" t="s">
        <v>19</v>
      </c>
      <c r="D132">
        <v>6</v>
      </c>
      <c r="E132" t="s">
        <v>527</v>
      </c>
      <c r="F132" t="s">
        <v>17</v>
      </c>
      <c r="G132">
        <v>18</v>
      </c>
      <c r="H132">
        <v>2535</v>
      </c>
      <c r="I132">
        <v>4.5</v>
      </c>
      <c r="J132" t="s">
        <v>523</v>
      </c>
    </row>
    <row r="133" spans="1:10" x14ac:dyDescent="0.25">
      <c r="A133">
        <v>14</v>
      </c>
      <c r="B133" t="s">
        <v>485</v>
      </c>
      <c r="C133" t="s">
        <v>19</v>
      </c>
      <c r="D133">
        <v>7</v>
      </c>
      <c r="E133" t="s">
        <v>528</v>
      </c>
      <c r="F133" t="s">
        <v>28</v>
      </c>
      <c r="G133">
        <v>13</v>
      </c>
      <c r="H133">
        <v>772</v>
      </c>
      <c r="I133">
        <v>10.7</v>
      </c>
      <c r="J133" t="s">
        <v>523</v>
      </c>
    </row>
    <row r="134" spans="1:10" x14ac:dyDescent="0.25">
      <c r="A134">
        <v>14</v>
      </c>
      <c r="B134" t="s">
        <v>485</v>
      </c>
      <c r="C134" t="s">
        <v>19</v>
      </c>
      <c r="D134">
        <v>8</v>
      </c>
      <c r="E134" t="s">
        <v>529</v>
      </c>
      <c r="F134" t="s">
        <v>14</v>
      </c>
      <c r="G134">
        <v>57</v>
      </c>
      <c r="H134">
        <v>2845</v>
      </c>
      <c r="I134">
        <v>12.8</v>
      </c>
      <c r="J134" t="s">
        <v>523</v>
      </c>
    </row>
    <row r="135" spans="1:10" x14ac:dyDescent="0.25">
      <c r="A135">
        <v>14</v>
      </c>
      <c r="B135" t="s">
        <v>485</v>
      </c>
      <c r="C135" t="s">
        <v>19</v>
      </c>
      <c r="D135">
        <v>9</v>
      </c>
      <c r="E135" t="s">
        <v>468</v>
      </c>
      <c r="F135" t="s">
        <v>23</v>
      </c>
      <c r="G135">
        <v>10</v>
      </c>
      <c r="H135">
        <v>920</v>
      </c>
      <c r="I135">
        <v>6.9</v>
      </c>
      <c r="J135" t="s">
        <v>523</v>
      </c>
    </row>
    <row r="136" spans="1:10" x14ac:dyDescent="0.25">
      <c r="A136">
        <v>14</v>
      </c>
      <c r="B136" t="s">
        <v>485</v>
      </c>
      <c r="C136" t="s">
        <v>19</v>
      </c>
      <c r="D136">
        <v>10</v>
      </c>
      <c r="E136" t="s">
        <v>534</v>
      </c>
      <c r="F136" t="s">
        <v>23</v>
      </c>
      <c r="G136">
        <v>32</v>
      </c>
      <c r="H136">
        <v>736</v>
      </c>
      <c r="I136">
        <v>27.7</v>
      </c>
      <c r="J136" t="s">
        <v>523</v>
      </c>
    </row>
    <row r="137" spans="1:10" x14ac:dyDescent="0.25">
      <c r="A137">
        <v>14</v>
      </c>
      <c r="B137" t="s">
        <v>485</v>
      </c>
      <c r="C137" t="s">
        <v>19</v>
      </c>
      <c r="D137">
        <v>11</v>
      </c>
      <c r="E137" t="s">
        <v>469</v>
      </c>
      <c r="F137" t="s">
        <v>25</v>
      </c>
      <c r="G137">
        <v>10</v>
      </c>
      <c r="H137">
        <v>285</v>
      </c>
      <c r="I137">
        <v>22.4</v>
      </c>
      <c r="J137" t="s">
        <v>523</v>
      </c>
    </row>
    <row r="138" spans="1:10" x14ac:dyDescent="0.25">
      <c r="A138">
        <v>14</v>
      </c>
      <c r="B138" t="s">
        <v>485</v>
      </c>
      <c r="C138" t="s">
        <v>19</v>
      </c>
      <c r="D138">
        <v>12</v>
      </c>
      <c r="E138" t="s">
        <v>475</v>
      </c>
      <c r="F138" t="s">
        <v>28</v>
      </c>
      <c r="G138">
        <v>2</v>
      </c>
      <c r="H138">
        <v>109</v>
      </c>
      <c r="I138">
        <v>11.7</v>
      </c>
      <c r="J138" t="s">
        <v>523</v>
      </c>
    </row>
    <row r="139" spans="1:10" x14ac:dyDescent="0.25">
      <c r="A139">
        <v>14</v>
      </c>
      <c r="B139" t="s">
        <v>485</v>
      </c>
      <c r="C139" t="s">
        <v>19</v>
      </c>
      <c r="D139">
        <v>13</v>
      </c>
      <c r="E139" t="s">
        <v>481</v>
      </c>
      <c r="F139" t="s">
        <v>17</v>
      </c>
      <c r="G139">
        <v>14</v>
      </c>
      <c r="H139">
        <v>402</v>
      </c>
      <c r="I139">
        <v>22.2</v>
      </c>
      <c r="J139" t="s">
        <v>523</v>
      </c>
    </row>
    <row r="140" spans="1:10" x14ac:dyDescent="0.25">
      <c r="A140">
        <v>14</v>
      </c>
      <c r="B140" t="s">
        <v>485</v>
      </c>
      <c r="C140" t="s">
        <v>19</v>
      </c>
      <c r="D140">
        <v>14</v>
      </c>
      <c r="E140" t="s">
        <v>482</v>
      </c>
      <c r="F140" t="s">
        <v>14</v>
      </c>
      <c r="G140">
        <v>4</v>
      </c>
      <c r="H140">
        <v>722</v>
      </c>
      <c r="I140">
        <v>3.5</v>
      </c>
      <c r="J140" t="s">
        <v>523</v>
      </c>
    </row>
    <row r="141" spans="1:10" x14ac:dyDescent="0.25">
      <c r="A141">
        <v>13</v>
      </c>
      <c r="B141" t="s">
        <v>484</v>
      </c>
      <c r="C141" t="s">
        <v>19</v>
      </c>
      <c r="D141">
        <v>29</v>
      </c>
      <c r="E141" t="s">
        <v>472</v>
      </c>
      <c r="F141" t="s">
        <v>23</v>
      </c>
      <c r="G141">
        <v>3</v>
      </c>
      <c r="H141">
        <v>69</v>
      </c>
      <c r="I141">
        <v>27.7</v>
      </c>
      <c r="J141" t="s">
        <v>523</v>
      </c>
    </row>
    <row r="142" spans="1:10" x14ac:dyDescent="0.25">
      <c r="A142">
        <v>13</v>
      </c>
      <c r="B142" t="s">
        <v>484</v>
      </c>
      <c r="C142" t="s">
        <v>19</v>
      </c>
      <c r="D142">
        <v>30</v>
      </c>
      <c r="E142" t="s">
        <v>530</v>
      </c>
      <c r="F142" t="s">
        <v>14</v>
      </c>
      <c r="G142">
        <v>17</v>
      </c>
      <c r="H142">
        <v>1063</v>
      </c>
      <c r="I142">
        <v>10.199999999999999</v>
      </c>
      <c r="J142" t="s">
        <v>523</v>
      </c>
    </row>
    <row r="143" spans="1:10" x14ac:dyDescent="0.25">
      <c r="A143">
        <v>13</v>
      </c>
      <c r="B143" t="s">
        <v>484</v>
      </c>
      <c r="C143" t="s">
        <v>19</v>
      </c>
      <c r="D143">
        <v>31</v>
      </c>
      <c r="E143" t="s">
        <v>496</v>
      </c>
      <c r="F143" t="s">
        <v>28</v>
      </c>
      <c r="G143">
        <v>24</v>
      </c>
      <c r="H143">
        <v>1329</v>
      </c>
      <c r="I143">
        <v>11.5</v>
      </c>
      <c r="J143" t="s">
        <v>523</v>
      </c>
    </row>
    <row r="144" spans="1:10" x14ac:dyDescent="0.25">
      <c r="A144">
        <v>13</v>
      </c>
      <c r="B144" t="s">
        <v>484</v>
      </c>
      <c r="C144" t="s">
        <v>19</v>
      </c>
      <c r="D144">
        <v>24</v>
      </c>
      <c r="E144" t="s">
        <v>524</v>
      </c>
      <c r="F144" t="s">
        <v>28</v>
      </c>
      <c r="G144">
        <v>24</v>
      </c>
      <c r="H144">
        <v>591</v>
      </c>
      <c r="I144">
        <v>25.9</v>
      </c>
      <c r="J144" t="s">
        <v>523</v>
      </c>
    </row>
    <row r="145" spans="1:10" x14ac:dyDescent="0.25">
      <c r="A145">
        <v>13</v>
      </c>
      <c r="B145" t="s">
        <v>484</v>
      </c>
      <c r="C145" t="s">
        <v>19</v>
      </c>
      <c r="D145">
        <v>25</v>
      </c>
      <c r="E145" t="s">
        <v>525</v>
      </c>
      <c r="F145" t="s">
        <v>25</v>
      </c>
      <c r="G145">
        <v>37</v>
      </c>
      <c r="H145">
        <v>1459</v>
      </c>
      <c r="I145">
        <v>16.2</v>
      </c>
      <c r="J145" t="s">
        <v>523</v>
      </c>
    </row>
    <row r="146" spans="1:10" x14ac:dyDescent="0.25">
      <c r="A146">
        <v>13</v>
      </c>
      <c r="B146" t="s">
        <v>484</v>
      </c>
      <c r="C146" t="s">
        <v>19</v>
      </c>
      <c r="D146">
        <v>26</v>
      </c>
      <c r="E146" t="s">
        <v>519</v>
      </c>
      <c r="F146" t="s">
        <v>25</v>
      </c>
      <c r="G146">
        <v>2</v>
      </c>
      <c r="H146">
        <v>48</v>
      </c>
      <c r="I146">
        <v>26.5</v>
      </c>
      <c r="J146" t="s">
        <v>523</v>
      </c>
    </row>
    <row r="147" spans="1:10" x14ac:dyDescent="0.25">
      <c r="A147">
        <v>13</v>
      </c>
      <c r="B147" t="s">
        <v>484</v>
      </c>
      <c r="C147" t="s">
        <v>19</v>
      </c>
      <c r="D147">
        <v>13</v>
      </c>
      <c r="E147" t="s">
        <v>481</v>
      </c>
      <c r="F147" t="s">
        <v>17</v>
      </c>
      <c r="G147">
        <v>14</v>
      </c>
      <c r="H147">
        <v>354</v>
      </c>
      <c r="I147">
        <v>25.2</v>
      </c>
      <c r="J147" t="s">
        <v>523</v>
      </c>
    </row>
    <row r="148" spans="1:10" x14ac:dyDescent="0.25">
      <c r="A148">
        <v>13</v>
      </c>
      <c r="B148" t="s">
        <v>484</v>
      </c>
      <c r="C148" t="s">
        <v>19</v>
      </c>
      <c r="D148">
        <v>14</v>
      </c>
      <c r="E148" t="s">
        <v>482</v>
      </c>
      <c r="F148" t="s">
        <v>14</v>
      </c>
      <c r="G148">
        <v>21</v>
      </c>
      <c r="H148">
        <v>424</v>
      </c>
      <c r="I148">
        <v>31.5</v>
      </c>
      <c r="J148" t="s">
        <v>523</v>
      </c>
    </row>
    <row r="149" spans="1:10" x14ac:dyDescent="0.25">
      <c r="A149">
        <v>13</v>
      </c>
      <c r="B149" t="s">
        <v>484</v>
      </c>
      <c r="C149" t="s">
        <v>19</v>
      </c>
      <c r="D149">
        <v>17</v>
      </c>
      <c r="E149" t="s">
        <v>531</v>
      </c>
      <c r="F149" t="s">
        <v>25</v>
      </c>
      <c r="G149">
        <v>9</v>
      </c>
      <c r="H149">
        <v>450</v>
      </c>
      <c r="I149">
        <v>12.7</v>
      </c>
      <c r="J149" t="s">
        <v>523</v>
      </c>
    </row>
    <row r="150" spans="1:10" x14ac:dyDescent="0.25">
      <c r="A150">
        <v>13</v>
      </c>
      <c r="B150" t="s">
        <v>484</v>
      </c>
      <c r="C150" t="s">
        <v>19</v>
      </c>
      <c r="D150">
        <v>18</v>
      </c>
      <c r="E150" t="s">
        <v>532</v>
      </c>
      <c r="F150" t="s">
        <v>23</v>
      </c>
      <c r="G150">
        <v>47</v>
      </c>
      <c r="H150">
        <v>1434</v>
      </c>
      <c r="I150">
        <v>20.9</v>
      </c>
      <c r="J150" t="s">
        <v>523</v>
      </c>
    </row>
    <row r="151" spans="1:10" x14ac:dyDescent="0.25">
      <c r="A151">
        <v>13</v>
      </c>
      <c r="B151" t="s">
        <v>484</v>
      </c>
      <c r="C151" t="s">
        <v>19</v>
      </c>
      <c r="D151">
        <v>21</v>
      </c>
      <c r="E151" t="s">
        <v>476</v>
      </c>
      <c r="F151" t="s">
        <v>28</v>
      </c>
      <c r="G151">
        <v>9</v>
      </c>
      <c r="H151">
        <v>376</v>
      </c>
      <c r="I151">
        <v>15.2</v>
      </c>
      <c r="J151" t="s">
        <v>523</v>
      </c>
    </row>
    <row r="152" spans="1:10" x14ac:dyDescent="0.25">
      <c r="A152">
        <v>13</v>
      </c>
      <c r="B152" t="s">
        <v>484</v>
      </c>
      <c r="C152" t="s">
        <v>19</v>
      </c>
      <c r="D152">
        <v>2</v>
      </c>
      <c r="E152" t="s">
        <v>462</v>
      </c>
      <c r="F152" t="s">
        <v>23</v>
      </c>
      <c r="G152">
        <v>2</v>
      </c>
      <c r="H152">
        <v>1019</v>
      </c>
      <c r="I152">
        <v>1.3</v>
      </c>
      <c r="J152" t="s">
        <v>523</v>
      </c>
    </row>
    <row r="153" spans="1:10" x14ac:dyDescent="0.25">
      <c r="A153">
        <v>13</v>
      </c>
      <c r="B153" t="s">
        <v>484</v>
      </c>
      <c r="C153" t="s">
        <v>19</v>
      </c>
      <c r="D153">
        <v>3</v>
      </c>
      <c r="E153" t="s">
        <v>493</v>
      </c>
      <c r="F153" t="s">
        <v>25</v>
      </c>
      <c r="G153">
        <v>3</v>
      </c>
      <c r="H153">
        <v>2587</v>
      </c>
      <c r="I153">
        <v>0.7</v>
      </c>
      <c r="J153" t="s">
        <v>523</v>
      </c>
    </row>
    <row r="154" spans="1:10" x14ac:dyDescent="0.25">
      <c r="A154">
        <v>13</v>
      </c>
      <c r="B154" t="s">
        <v>484</v>
      </c>
      <c r="C154" t="s">
        <v>19</v>
      </c>
      <c r="D154">
        <v>6</v>
      </c>
      <c r="E154" t="s">
        <v>527</v>
      </c>
      <c r="F154" t="s">
        <v>17</v>
      </c>
      <c r="G154">
        <v>14</v>
      </c>
      <c r="H154">
        <v>1677</v>
      </c>
      <c r="I154">
        <v>5.3</v>
      </c>
      <c r="J154" t="s">
        <v>523</v>
      </c>
    </row>
    <row r="155" spans="1:10" x14ac:dyDescent="0.25">
      <c r="A155">
        <v>13</v>
      </c>
      <c r="B155" t="s">
        <v>484</v>
      </c>
      <c r="C155" t="s">
        <v>19</v>
      </c>
      <c r="D155">
        <v>7</v>
      </c>
      <c r="E155" t="s">
        <v>528</v>
      </c>
      <c r="F155" t="s">
        <v>28</v>
      </c>
      <c r="G155">
        <v>16</v>
      </c>
      <c r="H155">
        <v>509</v>
      </c>
      <c r="I155">
        <v>20</v>
      </c>
      <c r="J155" t="s">
        <v>523</v>
      </c>
    </row>
    <row r="156" spans="1:10" x14ac:dyDescent="0.25">
      <c r="A156">
        <v>13</v>
      </c>
      <c r="B156" t="s">
        <v>484</v>
      </c>
      <c r="C156" t="s">
        <v>19</v>
      </c>
      <c r="D156">
        <v>8</v>
      </c>
      <c r="E156" t="s">
        <v>529</v>
      </c>
      <c r="F156" t="s">
        <v>14</v>
      </c>
      <c r="G156">
        <v>66</v>
      </c>
      <c r="H156">
        <v>1908</v>
      </c>
      <c r="I156">
        <v>22</v>
      </c>
      <c r="J156" t="s">
        <v>523</v>
      </c>
    </row>
    <row r="157" spans="1:10" x14ac:dyDescent="0.25">
      <c r="A157">
        <v>12</v>
      </c>
      <c r="B157" t="s">
        <v>535</v>
      </c>
      <c r="C157" t="s">
        <v>19</v>
      </c>
      <c r="D157">
        <v>25</v>
      </c>
      <c r="E157" t="s">
        <v>525</v>
      </c>
      <c r="F157" t="s">
        <v>25</v>
      </c>
      <c r="G157">
        <v>23</v>
      </c>
      <c r="H157">
        <v>1624</v>
      </c>
      <c r="I157">
        <v>9</v>
      </c>
      <c r="J157" t="s">
        <v>523</v>
      </c>
    </row>
    <row r="158" spans="1:10" x14ac:dyDescent="0.25">
      <c r="A158">
        <v>12</v>
      </c>
      <c r="B158" t="s">
        <v>535</v>
      </c>
      <c r="C158" t="s">
        <v>19</v>
      </c>
      <c r="D158">
        <v>31</v>
      </c>
      <c r="E158" t="s">
        <v>496</v>
      </c>
      <c r="F158" t="s">
        <v>28</v>
      </c>
      <c r="G158">
        <v>13</v>
      </c>
      <c r="H158">
        <v>1706</v>
      </c>
      <c r="I158">
        <v>4.9000000000000004</v>
      </c>
      <c r="J158" t="s">
        <v>523</v>
      </c>
    </row>
    <row r="159" spans="1:10" x14ac:dyDescent="0.25">
      <c r="A159">
        <v>12</v>
      </c>
      <c r="B159" t="s">
        <v>535</v>
      </c>
      <c r="C159" t="s">
        <v>19</v>
      </c>
      <c r="D159">
        <v>21</v>
      </c>
      <c r="E159" t="s">
        <v>476</v>
      </c>
      <c r="F159" t="s">
        <v>28</v>
      </c>
      <c r="G159">
        <v>15</v>
      </c>
      <c r="H159">
        <v>439</v>
      </c>
      <c r="I159">
        <v>21.8</v>
      </c>
      <c r="J159" t="s">
        <v>523</v>
      </c>
    </row>
    <row r="160" spans="1:10" x14ac:dyDescent="0.25">
      <c r="A160">
        <v>12</v>
      </c>
      <c r="B160" t="s">
        <v>535</v>
      </c>
      <c r="C160" t="s">
        <v>19</v>
      </c>
      <c r="D160">
        <v>22</v>
      </c>
      <c r="E160" t="s">
        <v>536</v>
      </c>
      <c r="F160" t="s">
        <v>14</v>
      </c>
      <c r="G160">
        <v>4</v>
      </c>
      <c r="H160">
        <v>135</v>
      </c>
      <c r="I160">
        <v>18.899999999999999</v>
      </c>
      <c r="J160" t="s">
        <v>523</v>
      </c>
    </row>
    <row r="161" spans="1:10" x14ac:dyDescent="0.25">
      <c r="A161">
        <v>12</v>
      </c>
      <c r="B161" t="s">
        <v>535</v>
      </c>
      <c r="C161" t="s">
        <v>19</v>
      </c>
      <c r="D161">
        <v>14</v>
      </c>
      <c r="E161" t="s">
        <v>482</v>
      </c>
      <c r="F161" t="s">
        <v>14</v>
      </c>
      <c r="G161">
        <v>13</v>
      </c>
      <c r="H161">
        <v>526</v>
      </c>
      <c r="I161">
        <v>15.7</v>
      </c>
      <c r="J161" t="s">
        <v>523</v>
      </c>
    </row>
    <row r="162" spans="1:10" x14ac:dyDescent="0.25">
      <c r="A162">
        <v>12</v>
      </c>
      <c r="B162" t="s">
        <v>535</v>
      </c>
      <c r="C162" t="s">
        <v>19</v>
      </c>
      <c r="D162">
        <v>15</v>
      </c>
      <c r="E162" t="s">
        <v>471</v>
      </c>
      <c r="F162" t="s">
        <v>23</v>
      </c>
      <c r="G162">
        <v>11</v>
      </c>
      <c r="H162">
        <v>406</v>
      </c>
      <c r="I162">
        <v>17.3</v>
      </c>
      <c r="J162" t="s">
        <v>523</v>
      </c>
    </row>
    <row r="163" spans="1:10" x14ac:dyDescent="0.25">
      <c r="A163">
        <v>12</v>
      </c>
      <c r="B163" t="s">
        <v>535</v>
      </c>
      <c r="C163" t="s">
        <v>19</v>
      </c>
      <c r="D163">
        <v>16</v>
      </c>
      <c r="E163" t="s">
        <v>513</v>
      </c>
      <c r="F163" t="s">
        <v>14</v>
      </c>
      <c r="G163">
        <v>14</v>
      </c>
      <c r="H163">
        <v>273</v>
      </c>
      <c r="I163">
        <v>32.700000000000003</v>
      </c>
      <c r="J163" t="s">
        <v>523</v>
      </c>
    </row>
    <row r="164" spans="1:10" x14ac:dyDescent="0.25">
      <c r="A164">
        <v>12</v>
      </c>
      <c r="B164" t="s">
        <v>535</v>
      </c>
      <c r="C164" t="s">
        <v>19</v>
      </c>
      <c r="D164">
        <v>17</v>
      </c>
      <c r="E164" t="s">
        <v>531</v>
      </c>
      <c r="F164" t="s">
        <v>25</v>
      </c>
      <c r="G164">
        <v>5</v>
      </c>
      <c r="H164">
        <v>147</v>
      </c>
      <c r="I164">
        <v>21.7</v>
      </c>
      <c r="J164" t="s">
        <v>523</v>
      </c>
    </row>
    <row r="165" spans="1:10" x14ac:dyDescent="0.25">
      <c r="A165">
        <v>12</v>
      </c>
      <c r="B165" t="s">
        <v>535</v>
      </c>
      <c r="C165" t="s">
        <v>19</v>
      </c>
      <c r="D165">
        <v>18</v>
      </c>
      <c r="E165" t="s">
        <v>532</v>
      </c>
      <c r="F165" t="s">
        <v>23</v>
      </c>
      <c r="G165">
        <v>20</v>
      </c>
      <c r="H165">
        <v>1308</v>
      </c>
      <c r="I165">
        <v>9.6999999999999993</v>
      </c>
      <c r="J165" t="s">
        <v>523</v>
      </c>
    </row>
    <row r="166" spans="1:10" x14ac:dyDescent="0.25">
      <c r="A166">
        <v>12</v>
      </c>
      <c r="B166" t="s">
        <v>535</v>
      </c>
      <c r="C166" t="s">
        <v>19</v>
      </c>
      <c r="D166">
        <v>19</v>
      </c>
      <c r="E166" t="s">
        <v>522</v>
      </c>
      <c r="F166" t="s">
        <v>25</v>
      </c>
      <c r="G166">
        <v>52</v>
      </c>
      <c r="H166">
        <v>1376</v>
      </c>
      <c r="I166">
        <v>24.1</v>
      </c>
      <c r="J166" t="s">
        <v>523</v>
      </c>
    </row>
    <row r="167" spans="1:10" x14ac:dyDescent="0.25">
      <c r="A167">
        <v>12</v>
      </c>
      <c r="B167" t="s">
        <v>535</v>
      </c>
      <c r="C167" t="s">
        <v>19</v>
      </c>
      <c r="D167">
        <v>6</v>
      </c>
      <c r="E167" t="s">
        <v>527</v>
      </c>
      <c r="F167" t="s">
        <v>17</v>
      </c>
      <c r="G167">
        <v>23</v>
      </c>
      <c r="H167">
        <v>1922</v>
      </c>
      <c r="I167">
        <v>7.6</v>
      </c>
      <c r="J167" t="s">
        <v>523</v>
      </c>
    </row>
    <row r="168" spans="1:10" x14ac:dyDescent="0.25">
      <c r="A168">
        <v>12</v>
      </c>
      <c r="B168" t="s">
        <v>535</v>
      </c>
      <c r="C168" t="s">
        <v>19</v>
      </c>
      <c r="D168">
        <v>7</v>
      </c>
      <c r="E168" t="s">
        <v>528</v>
      </c>
      <c r="F168" t="s">
        <v>28</v>
      </c>
      <c r="G168">
        <v>11</v>
      </c>
      <c r="H168">
        <v>518</v>
      </c>
      <c r="I168">
        <v>13.5</v>
      </c>
      <c r="J168" t="s">
        <v>523</v>
      </c>
    </row>
    <row r="169" spans="1:10" x14ac:dyDescent="0.25">
      <c r="A169">
        <v>12</v>
      </c>
      <c r="B169" t="s">
        <v>535</v>
      </c>
      <c r="C169" t="s">
        <v>19</v>
      </c>
      <c r="D169">
        <v>8</v>
      </c>
      <c r="E169" t="s">
        <v>529</v>
      </c>
      <c r="F169" t="s">
        <v>14</v>
      </c>
      <c r="G169">
        <v>61</v>
      </c>
      <c r="H169">
        <v>1142</v>
      </c>
      <c r="I169">
        <v>34</v>
      </c>
      <c r="J169" t="s">
        <v>523</v>
      </c>
    </row>
    <row r="170" spans="1:10" x14ac:dyDescent="0.25">
      <c r="A170">
        <v>12</v>
      </c>
      <c r="B170" t="s">
        <v>535</v>
      </c>
      <c r="C170" t="s">
        <v>19</v>
      </c>
      <c r="D170">
        <v>9</v>
      </c>
      <c r="E170" t="s">
        <v>468</v>
      </c>
      <c r="F170" t="s">
        <v>23</v>
      </c>
      <c r="G170">
        <v>14</v>
      </c>
      <c r="H170">
        <v>732</v>
      </c>
      <c r="I170">
        <v>12.2</v>
      </c>
      <c r="J170" t="s">
        <v>523</v>
      </c>
    </row>
    <row r="171" spans="1:10" x14ac:dyDescent="0.25">
      <c r="A171">
        <v>12</v>
      </c>
      <c r="B171" t="s">
        <v>535</v>
      </c>
      <c r="C171" t="s">
        <v>19</v>
      </c>
      <c r="D171">
        <v>10</v>
      </c>
      <c r="E171" t="s">
        <v>534</v>
      </c>
      <c r="F171" t="s">
        <v>23</v>
      </c>
      <c r="G171">
        <v>17</v>
      </c>
      <c r="H171">
        <v>691</v>
      </c>
      <c r="I171">
        <v>15.7</v>
      </c>
      <c r="J171" t="s">
        <v>523</v>
      </c>
    </row>
    <row r="172" spans="1:10" x14ac:dyDescent="0.25">
      <c r="A172">
        <v>11</v>
      </c>
      <c r="B172" t="s">
        <v>483</v>
      </c>
      <c r="C172" t="s">
        <v>19</v>
      </c>
      <c r="D172">
        <v>13</v>
      </c>
      <c r="E172" t="s">
        <v>481</v>
      </c>
      <c r="F172" t="s">
        <v>17</v>
      </c>
      <c r="G172">
        <v>2</v>
      </c>
      <c r="H172">
        <v>176</v>
      </c>
      <c r="I172">
        <v>7.2</v>
      </c>
      <c r="J172" t="s">
        <v>523</v>
      </c>
    </row>
    <row r="173" spans="1:10" x14ac:dyDescent="0.25">
      <c r="A173">
        <v>11</v>
      </c>
      <c r="B173" t="s">
        <v>483</v>
      </c>
      <c r="C173" t="s">
        <v>19</v>
      </c>
      <c r="D173">
        <v>14</v>
      </c>
      <c r="E173" t="s">
        <v>482</v>
      </c>
      <c r="F173" t="s">
        <v>14</v>
      </c>
      <c r="G173">
        <v>18</v>
      </c>
      <c r="H173">
        <v>456</v>
      </c>
      <c r="I173">
        <v>25.1</v>
      </c>
      <c r="J173" t="s">
        <v>523</v>
      </c>
    </row>
    <row r="174" spans="1:10" x14ac:dyDescent="0.25">
      <c r="A174">
        <v>11</v>
      </c>
      <c r="B174" t="s">
        <v>483</v>
      </c>
      <c r="C174" t="s">
        <v>19</v>
      </c>
      <c r="D174">
        <v>15</v>
      </c>
      <c r="E174" t="s">
        <v>471</v>
      </c>
      <c r="F174" t="s">
        <v>23</v>
      </c>
      <c r="G174">
        <v>7</v>
      </c>
      <c r="H174">
        <v>332</v>
      </c>
      <c r="I174">
        <v>13.4</v>
      </c>
      <c r="J174" t="s">
        <v>523</v>
      </c>
    </row>
    <row r="175" spans="1:10" x14ac:dyDescent="0.25">
      <c r="A175">
        <v>11</v>
      </c>
      <c r="B175" t="s">
        <v>483</v>
      </c>
      <c r="C175" t="s">
        <v>19</v>
      </c>
      <c r="D175">
        <v>17</v>
      </c>
      <c r="E175" t="s">
        <v>531</v>
      </c>
      <c r="F175" t="s">
        <v>25</v>
      </c>
      <c r="G175">
        <v>5</v>
      </c>
      <c r="H175">
        <v>371</v>
      </c>
      <c r="I175">
        <v>8.6</v>
      </c>
      <c r="J175" t="s">
        <v>523</v>
      </c>
    </row>
    <row r="176" spans="1:10" x14ac:dyDescent="0.25">
      <c r="A176">
        <v>11</v>
      </c>
      <c r="B176" t="s">
        <v>483</v>
      </c>
      <c r="C176" t="s">
        <v>19</v>
      </c>
      <c r="D176">
        <v>18</v>
      </c>
      <c r="E176" t="s">
        <v>532</v>
      </c>
      <c r="F176" t="s">
        <v>23</v>
      </c>
      <c r="G176">
        <v>34</v>
      </c>
      <c r="H176">
        <v>1099</v>
      </c>
      <c r="I176">
        <v>19.7</v>
      </c>
      <c r="J176" t="s">
        <v>523</v>
      </c>
    </row>
    <row r="177" spans="1:10" x14ac:dyDescent="0.25">
      <c r="A177">
        <v>11</v>
      </c>
      <c r="B177" t="s">
        <v>483</v>
      </c>
      <c r="C177" t="s">
        <v>19</v>
      </c>
      <c r="D177">
        <v>19</v>
      </c>
      <c r="E177" t="s">
        <v>522</v>
      </c>
      <c r="F177" t="s">
        <v>25</v>
      </c>
      <c r="G177">
        <v>51</v>
      </c>
      <c r="H177">
        <v>1048</v>
      </c>
      <c r="I177">
        <v>31</v>
      </c>
      <c r="J177" t="s">
        <v>523</v>
      </c>
    </row>
    <row r="178" spans="1:10" x14ac:dyDescent="0.25">
      <c r="A178">
        <v>11</v>
      </c>
      <c r="B178" t="s">
        <v>483</v>
      </c>
      <c r="C178" t="s">
        <v>19</v>
      </c>
      <c r="D178">
        <v>25</v>
      </c>
      <c r="E178" t="s">
        <v>525</v>
      </c>
      <c r="F178" t="s">
        <v>25</v>
      </c>
      <c r="G178">
        <v>70</v>
      </c>
      <c r="H178">
        <v>2000</v>
      </c>
      <c r="I178">
        <v>22.3</v>
      </c>
      <c r="J178" t="s">
        <v>523</v>
      </c>
    </row>
    <row r="179" spans="1:10" x14ac:dyDescent="0.25">
      <c r="A179">
        <v>11</v>
      </c>
      <c r="B179" t="s">
        <v>483</v>
      </c>
      <c r="C179" t="s">
        <v>19</v>
      </c>
      <c r="D179">
        <v>29</v>
      </c>
      <c r="E179" t="s">
        <v>472</v>
      </c>
      <c r="F179" t="s">
        <v>23</v>
      </c>
      <c r="G179">
        <v>4</v>
      </c>
      <c r="H179">
        <v>119</v>
      </c>
      <c r="I179">
        <v>21.4</v>
      </c>
      <c r="J179" t="s">
        <v>523</v>
      </c>
    </row>
    <row r="180" spans="1:10" x14ac:dyDescent="0.25">
      <c r="A180">
        <v>11</v>
      </c>
      <c r="B180" t="s">
        <v>483</v>
      </c>
      <c r="C180" t="s">
        <v>19</v>
      </c>
      <c r="D180">
        <v>30</v>
      </c>
      <c r="E180" t="s">
        <v>530</v>
      </c>
      <c r="F180" t="s">
        <v>14</v>
      </c>
      <c r="G180">
        <v>10</v>
      </c>
      <c r="H180">
        <v>625</v>
      </c>
      <c r="I180">
        <v>10.199999999999999</v>
      </c>
      <c r="J180" t="s">
        <v>523</v>
      </c>
    </row>
    <row r="181" spans="1:10" x14ac:dyDescent="0.25">
      <c r="A181">
        <v>11</v>
      </c>
      <c r="B181" t="s">
        <v>483</v>
      </c>
      <c r="C181" t="s">
        <v>19</v>
      </c>
      <c r="D181">
        <v>31</v>
      </c>
      <c r="E181" t="s">
        <v>496</v>
      </c>
      <c r="F181" t="s">
        <v>28</v>
      </c>
      <c r="G181">
        <v>20</v>
      </c>
      <c r="H181">
        <v>913</v>
      </c>
      <c r="I181">
        <v>14</v>
      </c>
      <c r="J181" t="s">
        <v>523</v>
      </c>
    </row>
    <row r="182" spans="1:10" x14ac:dyDescent="0.25">
      <c r="A182">
        <v>11</v>
      </c>
      <c r="B182" t="s">
        <v>483</v>
      </c>
      <c r="C182" t="s">
        <v>19</v>
      </c>
      <c r="D182">
        <v>32</v>
      </c>
      <c r="E182" t="s">
        <v>507</v>
      </c>
      <c r="F182" t="s">
        <v>28</v>
      </c>
      <c r="G182">
        <v>4</v>
      </c>
      <c r="H182">
        <v>94</v>
      </c>
      <c r="I182">
        <v>27.1</v>
      </c>
      <c r="J182" t="s">
        <v>523</v>
      </c>
    </row>
    <row r="183" spans="1:10" x14ac:dyDescent="0.25">
      <c r="A183">
        <v>11</v>
      </c>
      <c r="B183" t="s">
        <v>483</v>
      </c>
      <c r="C183" t="s">
        <v>19</v>
      </c>
      <c r="D183">
        <v>34</v>
      </c>
      <c r="E183" t="s">
        <v>467</v>
      </c>
      <c r="F183" t="s">
        <v>17</v>
      </c>
      <c r="G183">
        <v>9</v>
      </c>
      <c r="H183">
        <v>220</v>
      </c>
      <c r="I183">
        <v>26.1</v>
      </c>
      <c r="J183" t="s">
        <v>523</v>
      </c>
    </row>
    <row r="184" spans="1:10" x14ac:dyDescent="0.25">
      <c r="A184">
        <v>12</v>
      </c>
      <c r="B184" t="s">
        <v>535</v>
      </c>
      <c r="C184" t="s">
        <v>19</v>
      </c>
      <c r="D184">
        <v>1</v>
      </c>
      <c r="E184" t="s">
        <v>466</v>
      </c>
      <c r="F184" t="s">
        <v>23</v>
      </c>
      <c r="G184">
        <v>16</v>
      </c>
      <c r="H184">
        <v>952</v>
      </c>
      <c r="I184">
        <v>10.7</v>
      </c>
      <c r="J184" t="s">
        <v>523</v>
      </c>
    </row>
    <row r="185" spans="1:10" x14ac:dyDescent="0.25">
      <c r="A185">
        <v>12</v>
      </c>
      <c r="B185" t="s">
        <v>535</v>
      </c>
      <c r="C185" t="s">
        <v>19</v>
      </c>
      <c r="D185">
        <v>2</v>
      </c>
      <c r="E185" t="s">
        <v>462</v>
      </c>
      <c r="F185" t="s">
        <v>23</v>
      </c>
      <c r="G185">
        <v>16</v>
      </c>
      <c r="H185">
        <v>767</v>
      </c>
      <c r="I185">
        <v>13.3</v>
      </c>
      <c r="J185" t="s">
        <v>523</v>
      </c>
    </row>
    <row r="186" spans="1:10" x14ac:dyDescent="0.25">
      <c r="A186">
        <v>12</v>
      </c>
      <c r="B186" t="s">
        <v>535</v>
      </c>
      <c r="C186" t="s">
        <v>19</v>
      </c>
      <c r="D186">
        <v>3</v>
      </c>
      <c r="E186" t="s">
        <v>493</v>
      </c>
      <c r="F186" t="s">
        <v>25</v>
      </c>
      <c r="G186">
        <v>44</v>
      </c>
      <c r="H186">
        <v>1344</v>
      </c>
      <c r="I186">
        <v>20.9</v>
      </c>
      <c r="J186" t="s">
        <v>523</v>
      </c>
    </row>
    <row r="187" spans="1:10" x14ac:dyDescent="0.25">
      <c r="A187">
        <v>20</v>
      </c>
      <c r="B187" t="s">
        <v>491</v>
      </c>
      <c r="C187" t="s">
        <v>19</v>
      </c>
      <c r="D187">
        <v>24</v>
      </c>
      <c r="E187" t="s">
        <v>524</v>
      </c>
      <c r="F187" t="s">
        <v>28</v>
      </c>
      <c r="G187">
        <v>18</v>
      </c>
      <c r="H187">
        <v>528</v>
      </c>
      <c r="I187">
        <v>21.7</v>
      </c>
      <c r="J187" t="s">
        <v>523</v>
      </c>
    </row>
    <row r="188" spans="1:10" x14ac:dyDescent="0.25">
      <c r="A188">
        <v>20</v>
      </c>
      <c r="B188" t="s">
        <v>491</v>
      </c>
      <c r="C188" t="s">
        <v>19</v>
      </c>
      <c r="D188">
        <v>25</v>
      </c>
      <c r="E188" t="s">
        <v>525</v>
      </c>
      <c r="F188" t="s">
        <v>25</v>
      </c>
      <c r="G188">
        <v>92</v>
      </c>
      <c r="H188">
        <v>1768</v>
      </c>
      <c r="I188">
        <v>33.1</v>
      </c>
      <c r="J188" t="s">
        <v>523</v>
      </c>
    </row>
    <row r="189" spans="1:10" x14ac:dyDescent="0.25">
      <c r="A189">
        <v>20</v>
      </c>
      <c r="B189" t="s">
        <v>491</v>
      </c>
      <c r="C189" t="s">
        <v>19</v>
      </c>
      <c r="D189">
        <v>14</v>
      </c>
      <c r="E189" t="s">
        <v>482</v>
      </c>
      <c r="F189" t="s">
        <v>14</v>
      </c>
      <c r="G189">
        <v>6</v>
      </c>
      <c r="H189">
        <v>602</v>
      </c>
      <c r="I189">
        <v>6.3</v>
      </c>
      <c r="J189" t="s">
        <v>523</v>
      </c>
    </row>
    <row r="190" spans="1:10" x14ac:dyDescent="0.25">
      <c r="A190">
        <v>20</v>
      </c>
      <c r="B190" t="s">
        <v>491</v>
      </c>
      <c r="C190" t="s">
        <v>19</v>
      </c>
      <c r="D190">
        <v>18</v>
      </c>
      <c r="E190" t="s">
        <v>532</v>
      </c>
      <c r="F190" t="s">
        <v>23</v>
      </c>
      <c r="G190">
        <v>8</v>
      </c>
      <c r="H190">
        <v>981</v>
      </c>
      <c r="I190">
        <v>5.2</v>
      </c>
      <c r="J190" t="s">
        <v>523</v>
      </c>
    </row>
    <row r="191" spans="1:10" x14ac:dyDescent="0.25">
      <c r="A191">
        <v>20</v>
      </c>
      <c r="B191" t="s">
        <v>491</v>
      </c>
      <c r="C191" t="s">
        <v>19</v>
      </c>
      <c r="D191">
        <v>19</v>
      </c>
      <c r="E191" t="s">
        <v>522</v>
      </c>
      <c r="F191" t="s">
        <v>25</v>
      </c>
      <c r="G191">
        <v>2</v>
      </c>
      <c r="H191">
        <v>1739</v>
      </c>
      <c r="I191">
        <v>0.7</v>
      </c>
      <c r="J191" t="s">
        <v>523</v>
      </c>
    </row>
    <row r="192" spans="1:10" x14ac:dyDescent="0.25">
      <c r="A192">
        <v>21</v>
      </c>
      <c r="B192" t="s">
        <v>537</v>
      </c>
      <c r="C192" t="s">
        <v>19</v>
      </c>
      <c r="D192">
        <v>1</v>
      </c>
      <c r="E192" t="s">
        <v>466</v>
      </c>
      <c r="F192" t="s">
        <v>23</v>
      </c>
      <c r="G192">
        <v>7</v>
      </c>
      <c r="H192">
        <v>1261</v>
      </c>
      <c r="I192">
        <v>3.5</v>
      </c>
      <c r="J192" t="s">
        <v>523</v>
      </c>
    </row>
    <row r="193" spans="1:10" x14ac:dyDescent="0.25">
      <c r="A193">
        <v>21</v>
      </c>
      <c r="B193" t="s">
        <v>537</v>
      </c>
      <c r="C193" t="s">
        <v>19</v>
      </c>
      <c r="D193">
        <v>2</v>
      </c>
      <c r="E193" t="s">
        <v>462</v>
      </c>
      <c r="F193" t="s">
        <v>23</v>
      </c>
      <c r="G193">
        <v>24</v>
      </c>
      <c r="H193">
        <v>800</v>
      </c>
      <c r="I193">
        <v>19.100000000000001</v>
      </c>
      <c r="J193" t="s">
        <v>523</v>
      </c>
    </row>
    <row r="194" spans="1:10" x14ac:dyDescent="0.25">
      <c r="A194">
        <v>21</v>
      </c>
      <c r="B194" t="s">
        <v>537</v>
      </c>
      <c r="C194" t="s">
        <v>19</v>
      </c>
      <c r="D194">
        <v>3</v>
      </c>
      <c r="E194" t="s">
        <v>493</v>
      </c>
      <c r="F194" t="s">
        <v>25</v>
      </c>
      <c r="G194">
        <v>74</v>
      </c>
      <c r="H194">
        <v>1797</v>
      </c>
      <c r="I194">
        <v>26.2</v>
      </c>
      <c r="J194" t="s">
        <v>523</v>
      </c>
    </row>
    <row r="195" spans="1:10" x14ac:dyDescent="0.25">
      <c r="A195">
        <v>21</v>
      </c>
      <c r="B195" t="s">
        <v>537</v>
      </c>
      <c r="C195" t="s">
        <v>19</v>
      </c>
      <c r="D195">
        <v>6</v>
      </c>
      <c r="E195" t="s">
        <v>527</v>
      </c>
      <c r="F195" t="s">
        <v>17</v>
      </c>
      <c r="G195">
        <v>10</v>
      </c>
      <c r="H195">
        <v>1424</v>
      </c>
      <c r="I195">
        <v>4.5</v>
      </c>
      <c r="J195" t="s">
        <v>523</v>
      </c>
    </row>
    <row r="196" spans="1:10" x14ac:dyDescent="0.25">
      <c r="A196">
        <v>21</v>
      </c>
      <c r="B196" t="s">
        <v>537</v>
      </c>
      <c r="C196" t="s">
        <v>19</v>
      </c>
      <c r="D196">
        <v>7</v>
      </c>
      <c r="E196" t="s">
        <v>528</v>
      </c>
      <c r="F196" t="s">
        <v>28</v>
      </c>
      <c r="G196">
        <v>8</v>
      </c>
      <c r="H196">
        <v>574</v>
      </c>
      <c r="I196">
        <v>8.9</v>
      </c>
      <c r="J196" t="s">
        <v>523</v>
      </c>
    </row>
    <row r="197" spans="1:10" x14ac:dyDescent="0.25">
      <c r="A197">
        <v>21</v>
      </c>
      <c r="B197" t="s">
        <v>537</v>
      </c>
      <c r="C197" t="s">
        <v>19</v>
      </c>
      <c r="D197">
        <v>8</v>
      </c>
      <c r="E197" t="s">
        <v>529</v>
      </c>
      <c r="F197" t="s">
        <v>14</v>
      </c>
      <c r="G197">
        <v>11</v>
      </c>
      <c r="H197">
        <v>1411</v>
      </c>
      <c r="I197">
        <v>5</v>
      </c>
      <c r="J197" t="s">
        <v>523</v>
      </c>
    </row>
    <row r="198" spans="1:10" x14ac:dyDescent="0.25">
      <c r="A198">
        <v>21</v>
      </c>
      <c r="B198" t="s">
        <v>537</v>
      </c>
      <c r="C198" t="s">
        <v>19</v>
      </c>
      <c r="D198">
        <v>9</v>
      </c>
      <c r="E198" t="s">
        <v>468</v>
      </c>
      <c r="F198" t="s">
        <v>23</v>
      </c>
      <c r="G198">
        <v>26</v>
      </c>
      <c r="H198">
        <v>774</v>
      </c>
      <c r="I198">
        <v>21.4</v>
      </c>
      <c r="J198" t="s">
        <v>523</v>
      </c>
    </row>
    <row r="199" spans="1:10" x14ac:dyDescent="0.25">
      <c r="A199">
        <v>21</v>
      </c>
      <c r="B199" t="s">
        <v>537</v>
      </c>
      <c r="C199" t="s">
        <v>19</v>
      </c>
      <c r="D199">
        <v>10</v>
      </c>
      <c r="E199" t="s">
        <v>534</v>
      </c>
      <c r="F199" t="s">
        <v>23</v>
      </c>
      <c r="G199">
        <v>13</v>
      </c>
      <c r="H199">
        <v>537</v>
      </c>
      <c r="I199">
        <v>15.4</v>
      </c>
      <c r="J199" t="s">
        <v>523</v>
      </c>
    </row>
    <row r="200" spans="1:10" x14ac:dyDescent="0.25">
      <c r="A200">
        <v>21</v>
      </c>
      <c r="B200" t="s">
        <v>537</v>
      </c>
      <c r="C200" t="s">
        <v>19</v>
      </c>
      <c r="D200">
        <v>11</v>
      </c>
      <c r="E200" t="s">
        <v>469</v>
      </c>
      <c r="F200" t="s">
        <v>25</v>
      </c>
      <c r="G200">
        <v>11</v>
      </c>
      <c r="H200">
        <v>485</v>
      </c>
      <c r="I200">
        <v>14.4</v>
      </c>
      <c r="J200" t="s">
        <v>523</v>
      </c>
    </row>
    <row r="201" spans="1:10" x14ac:dyDescent="0.25">
      <c r="A201">
        <v>21</v>
      </c>
      <c r="B201" t="s">
        <v>537</v>
      </c>
      <c r="C201" t="s">
        <v>19</v>
      </c>
      <c r="D201">
        <v>13</v>
      </c>
      <c r="E201" t="s">
        <v>481</v>
      </c>
      <c r="F201" t="s">
        <v>17</v>
      </c>
      <c r="G201">
        <v>5</v>
      </c>
      <c r="H201">
        <v>364</v>
      </c>
      <c r="I201">
        <v>8.8000000000000007</v>
      </c>
      <c r="J201" t="s">
        <v>523</v>
      </c>
    </row>
    <row r="202" spans="1:10" x14ac:dyDescent="0.25">
      <c r="A202">
        <v>21</v>
      </c>
      <c r="B202" t="s">
        <v>537</v>
      </c>
      <c r="C202" t="s">
        <v>19</v>
      </c>
      <c r="D202">
        <v>14</v>
      </c>
      <c r="E202" t="s">
        <v>482</v>
      </c>
      <c r="F202" t="s">
        <v>14</v>
      </c>
      <c r="G202">
        <v>4</v>
      </c>
      <c r="H202">
        <v>600</v>
      </c>
      <c r="I202">
        <v>4.2</v>
      </c>
      <c r="J202" t="s">
        <v>523</v>
      </c>
    </row>
    <row r="203" spans="1:10" x14ac:dyDescent="0.25">
      <c r="A203">
        <v>21</v>
      </c>
      <c r="B203" t="s">
        <v>537</v>
      </c>
      <c r="C203" t="s">
        <v>19</v>
      </c>
      <c r="D203">
        <v>15</v>
      </c>
      <c r="E203" t="s">
        <v>471</v>
      </c>
      <c r="F203" t="s">
        <v>23</v>
      </c>
      <c r="G203">
        <v>9</v>
      </c>
      <c r="H203">
        <v>294</v>
      </c>
      <c r="I203">
        <v>19.5</v>
      </c>
      <c r="J203" t="s">
        <v>523</v>
      </c>
    </row>
    <row r="204" spans="1:10" x14ac:dyDescent="0.25">
      <c r="A204">
        <v>21</v>
      </c>
      <c r="B204" t="s">
        <v>537</v>
      </c>
      <c r="C204" t="s">
        <v>19</v>
      </c>
      <c r="D204">
        <v>17</v>
      </c>
      <c r="E204" t="s">
        <v>531</v>
      </c>
      <c r="F204" t="s">
        <v>25</v>
      </c>
      <c r="G204">
        <v>4</v>
      </c>
      <c r="H204">
        <v>373</v>
      </c>
      <c r="I204">
        <v>6.8</v>
      </c>
      <c r="J204" t="s">
        <v>523</v>
      </c>
    </row>
    <row r="205" spans="1:10" x14ac:dyDescent="0.25">
      <c r="A205">
        <v>21</v>
      </c>
      <c r="B205" t="s">
        <v>537</v>
      </c>
      <c r="C205" t="s">
        <v>19</v>
      </c>
      <c r="D205">
        <v>18</v>
      </c>
      <c r="E205" t="s">
        <v>532</v>
      </c>
      <c r="F205" t="s">
        <v>23</v>
      </c>
      <c r="G205">
        <v>6</v>
      </c>
      <c r="H205">
        <v>1283</v>
      </c>
      <c r="I205">
        <v>3</v>
      </c>
      <c r="J205" t="s">
        <v>523</v>
      </c>
    </row>
    <row r="206" spans="1:10" x14ac:dyDescent="0.25">
      <c r="A206">
        <v>21</v>
      </c>
      <c r="B206" t="s">
        <v>537</v>
      </c>
      <c r="C206" t="s">
        <v>19</v>
      </c>
      <c r="D206">
        <v>19</v>
      </c>
      <c r="E206" t="s">
        <v>522</v>
      </c>
      <c r="F206" t="s">
        <v>25</v>
      </c>
      <c r="G206">
        <v>49</v>
      </c>
      <c r="H206">
        <v>1857</v>
      </c>
      <c r="I206">
        <v>16.8</v>
      </c>
      <c r="J206" t="s">
        <v>523</v>
      </c>
    </row>
    <row r="207" spans="1:10" x14ac:dyDescent="0.25">
      <c r="A207">
        <v>21</v>
      </c>
      <c r="B207" t="s">
        <v>537</v>
      </c>
      <c r="C207" t="s">
        <v>19</v>
      </c>
      <c r="D207">
        <v>21</v>
      </c>
      <c r="E207" t="s">
        <v>476</v>
      </c>
      <c r="F207" t="s">
        <v>28</v>
      </c>
      <c r="G207">
        <v>14</v>
      </c>
      <c r="H207">
        <v>287</v>
      </c>
      <c r="I207">
        <v>31.1</v>
      </c>
      <c r="J207" t="s">
        <v>523</v>
      </c>
    </row>
    <row r="208" spans="1:10" x14ac:dyDescent="0.25">
      <c r="A208">
        <v>20</v>
      </c>
      <c r="B208" t="s">
        <v>491</v>
      </c>
      <c r="C208" t="s">
        <v>19</v>
      </c>
      <c r="D208">
        <v>30</v>
      </c>
      <c r="E208" t="s">
        <v>530</v>
      </c>
      <c r="F208" t="s">
        <v>14</v>
      </c>
      <c r="G208">
        <v>17</v>
      </c>
      <c r="H208">
        <v>841</v>
      </c>
      <c r="I208">
        <v>12.9</v>
      </c>
      <c r="J208" t="s">
        <v>523</v>
      </c>
    </row>
    <row r="209" spans="1:10" x14ac:dyDescent="0.25">
      <c r="A209">
        <v>20</v>
      </c>
      <c r="B209" t="s">
        <v>491</v>
      </c>
      <c r="C209" t="s">
        <v>19</v>
      </c>
      <c r="D209">
        <v>31</v>
      </c>
      <c r="E209" t="s">
        <v>496</v>
      </c>
      <c r="F209" t="s">
        <v>28</v>
      </c>
      <c r="G209">
        <v>10</v>
      </c>
      <c r="H209">
        <v>659</v>
      </c>
      <c r="I209">
        <v>9.6999999999999993</v>
      </c>
      <c r="J209" t="s">
        <v>523</v>
      </c>
    </row>
    <row r="210" spans="1:10" x14ac:dyDescent="0.25">
      <c r="A210">
        <v>21</v>
      </c>
      <c r="B210" t="s">
        <v>537</v>
      </c>
      <c r="C210" t="s">
        <v>19</v>
      </c>
      <c r="D210">
        <v>25</v>
      </c>
      <c r="E210" t="s">
        <v>525</v>
      </c>
      <c r="F210" t="s">
        <v>25</v>
      </c>
      <c r="G210">
        <v>46</v>
      </c>
      <c r="H210">
        <v>2295</v>
      </c>
      <c r="I210">
        <v>12.8</v>
      </c>
      <c r="J210" t="s">
        <v>523</v>
      </c>
    </row>
    <row r="211" spans="1:10" x14ac:dyDescent="0.25">
      <c r="A211">
        <v>19</v>
      </c>
      <c r="B211" t="s">
        <v>489</v>
      </c>
      <c r="C211" t="s">
        <v>26</v>
      </c>
      <c r="D211">
        <v>30</v>
      </c>
      <c r="E211" t="s">
        <v>530</v>
      </c>
      <c r="F211" t="s">
        <v>14</v>
      </c>
      <c r="G211">
        <v>7</v>
      </c>
      <c r="H211">
        <v>776</v>
      </c>
      <c r="I211">
        <v>5.7</v>
      </c>
      <c r="J211" t="s">
        <v>523</v>
      </c>
    </row>
    <row r="212" spans="1:10" x14ac:dyDescent="0.25">
      <c r="A212">
        <v>19</v>
      </c>
      <c r="B212" t="s">
        <v>489</v>
      </c>
      <c r="C212" t="s">
        <v>26</v>
      </c>
      <c r="D212">
        <v>31</v>
      </c>
      <c r="E212" t="s">
        <v>496</v>
      </c>
      <c r="F212" t="s">
        <v>28</v>
      </c>
      <c r="G212">
        <v>4</v>
      </c>
      <c r="H212">
        <v>612</v>
      </c>
      <c r="I212">
        <v>4.2</v>
      </c>
      <c r="J212" t="s">
        <v>523</v>
      </c>
    </row>
    <row r="213" spans="1:10" x14ac:dyDescent="0.25">
      <c r="A213">
        <v>19</v>
      </c>
      <c r="B213" t="s">
        <v>489</v>
      </c>
      <c r="C213" t="s">
        <v>26</v>
      </c>
      <c r="D213">
        <v>32</v>
      </c>
      <c r="E213" t="s">
        <v>507</v>
      </c>
      <c r="F213" t="s">
        <v>28</v>
      </c>
      <c r="G213">
        <v>5</v>
      </c>
      <c r="H213">
        <v>106</v>
      </c>
      <c r="I213">
        <v>30</v>
      </c>
      <c r="J213" t="s">
        <v>523</v>
      </c>
    </row>
    <row r="214" spans="1:10" x14ac:dyDescent="0.25">
      <c r="A214">
        <v>19</v>
      </c>
      <c r="B214" t="s">
        <v>489</v>
      </c>
      <c r="C214" t="s">
        <v>26</v>
      </c>
      <c r="D214">
        <v>24</v>
      </c>
      <c r="E214" t="s">
        <v>524</v>
      </c>
      <c r="F214" t="s">
        <v>28</v>
      </c>
      <c r="G214">
        <v>16</v>
      </c>
      <c r="H214">
        <v>458</v>
      </c>
      <c r="I214">
        <v>22.3</v>
      </c>
      <c r="J214" t="s">
        <v>523</v>
      </c>
    </row>
    <row r="215" spans="1:10" x14ac:dyDescent="0.25">
      <c r="A215">
        <v>19</v>
      </c>
      <c r="B215" t="s">
        <v>489</v>
      </c>
      <c r="C215" t="s">
        <v>26</v>
      </c>
      <c r="D215">
        <v>25</v>
      </c>
      <c r="E215" t="s">
        <v>525</v>
      </c>
      <c r="F215" t="s">
        <v>25</v>
      </c>
      <c r="G215">
        <v>18</v>
      </c>
      <c r="H215">
        <v>1561</v>
      </c>
      <c r="I215">
        <v>7.3</v>
      </c>
      <c r="J215" t="s">
        <v>523</v>
      </c>
    </row>
    <row r="216" spans="1:10" x14ac:dyDescent="0.25">
      <c r="A216">
        <v>19</v>
      </c>
      <c r="B216" t="s">
        <v>489</v>
      </c>
      <c r="C216" t="s">
        <v>26</v>
      </c>
      <c r="D216">
        <v>26</v>
      </c>
      <c r="E216" t="s">
        <v>519</v>
      </c>
      <c r="F216" t="s">
        <v>25</v>
      </c>
      <c r="G216">
        <v>5</v>
      </c>
      <c r="H216">
        <v>235</v>
      </c>
      <c r="I216">
        <v>13.6</v>
      </c>
      <c r="J216" t="s">
        <v>523</v>
      </c>
    </row>
    <row r="217" spans="1:10" x14ac:dyDescent="0.25">
      <c r="A217">
        <v>19</v>
      </c>
      <c r="B217" t="s">
        <v>489</v>
      </c>
      <c r="C217" t="s">
        <v>26</v>
      </c>
      <c r="D217">
        <v>27</v>
      </c>
      <c r="E217" t="s">
        <v>526</v>
      </c>
      <c r="F217" t="s">
        <v>25</v>
      </c>
      <c r="G217">
        <v>27</v>
      </c>
      <c r="H217">
        <v>609</v>
      </c>
      <c r="I217">
        <v>28.2</v>
      </c>
      <c r="J217" t="s">
        <v>523</v>
      </c>
    </row>
    <row r="218" spans="1:10" x14ac:dyDescent="0.25">
      <c r="A218">
        <v>20</v>
      </c>
      <c r="B218" t="s">
        <v>491</v>
      </c>
      <c r="C218" t="s">
        <v>19</v>
      </c>
      <c r="D218">
        <v>1</v>
      </c>
      <c r="E218" t="s">
        <v>466</v>
      </c>
      <c r="F218" t="s">
        <v>23</v>
      </c>
      <c r="G218">
        <v>38</v>
      </c>
      <c r="H218">
        <v>1017</v>
      </c>
      <c r="I218">
        <v>23.8</v>
      </c>
      <c r="J218" t="s">
        <v>523</v>
      </c>
    </row>
    <row r="219" spans="1:10" x14ac:dyDescent="0.25">
      <c r="A219">
        <v>20</v>
      </c>
      <c r="B219" t="s">
        <v>491</v>
      </c>
      <c r="C219" t="s">
        <v>19</v>
      </c>
      <c r="D219">
        <v>2</v>
      </c>
      <c r="E219" t="s">
        <v>462</v>
      </c>
      <c r="F219" t="s">
        <v>23</v>
      </c>
      <c r="G219">
        <v>2</v>
      </c>
      <c r="H219">
        <v>635</v>
      </c>
      <c r="I219">
        <v>2</v>
      </c>
      <c r="J219" t="s">
        <v>523</v>
      </c>
    </row>
    <row r="220" spans="1:10" x14ac:dyDescent="0.25">
      <c r="A220">
        <v>20</v>
      </c>
      <c r="B220" t="s">
        <v>491</v>
      </c>
      <c r="C220" t="s">
        <v>19</v>
      </c>
      <c r="D220">
        <v>3</v>
      </c>
      <c r="E220" t="s">
        <v>493</v>
      </c>
      <c r="F220" t="s">
        <v>25</v>
      </c>
      <c r="G220">
        <v>24</v>
      </c>
      <c r="H220">
        <v>2138</v>
      </c>
      <c r="I220">
        <v>7.2</v>
      </c>
      <c r="J220" t="s">
        <v>523</v>
      </c>
    </row>
    <row r="221" spans="1:10" x14ac:dyDescent="0.25">
      <c r="A221">
        <v>20</v>
      </c>
      <c r="B221" t="s">
        <v>491</v>
      </c>
      <c r="C221" t="s">
        <v>19</v>
      </c>
      <c r="D221">
        <v>6</v>
      </c>
      <c r="E221" t="s">
        <v>527</v>
      </c>
      <c r="F221" t="s">
        <v>17</v>
      </c>
      <c r="G221">
        <v>4</v>
      </c>
      <c r="H221">
        <v>993</v>
      </c>
      <c r="I221">
        <v>2.6</v>
      </c>
      <c r="J221" t="s">
        <v>523</v>
      </c>
    </row>
    <row r="222" spans="1:10" x14ac:dyDescent="0.25">
      <c r="A222">
        <v>20</v>
      </c>
      <c r="B222" t="s">
        <v>491</v>
      </c>
      <c r="C222" t="s">
        <v>19</v>
      </c>
      <c r="D222">
        <v>7</v>
      </c>
      <c r="E222" t="s">
        <v>528</v>
      </c>
      <c r="F222" t="s">
        <v>28</v>
      </c>
      <c r="G222">
        <v>9</v>
      </c>
      <c r="H222">
        <v>582</v>
      </c>
      <c r="I222">
        <v>9.9</v>
      </c>
      <c r="J222" t="s">
        <v>523</v>
      </c>
    </row>
    <row r="223" spans="1:10" x14ac:dyDescent="0.25">
      <c r="A223">
        <v>20</v>
      </c>
      <c r="B223" t="s">
        <v>491</v>
      </c>
      <c r="C223" t="s">
        <v>19</v>
      </c>
      <c r="D223">
        <v>9</v>
      </c>
      <c r="E223" t="s">
        <v>468</v>
      </c>
      <c r="F223" t="s">
        <v>23</v>
      </c>
      <c r="G223">
        <v>9</v>
      </c>
      <c r="H223">
        <v>513</v>
      </c>
      <c r="I223">
        <v>11.2</v>
      </c>
      <c r="J223" t="s">
        <v>523</v>
      </c>
    </row>
    <row r="224" spans="1:10" x14ac:dyDescent="0.25">
      <c r="A224">
        <v>20</v>
      </c>
      <c r="B224" t="s">
        <v>491</v>
      </c>
      <c r="C224" t="s">
        <v>19</v>
      </c>
      <c r="D224">
        <v>10</v>
      </c>
      <c r="E224" t="s">
        <v>534</v>
      </c>
      <c r="F224" t="s">
        <v>23</v>
      </c>
      <c r="G224">
        <v>34</v>
      </c>
      <c r="H224">
        <v>754</v>
      </c>
      <c r="I224">
        <v>28.7</v>
      </c>
      <c r="J224" t="s">
        <v>523</v>
      </c>
    </row>
    <row r="225" spans="1:10" x14ac:dyDescent="0.25">
      <c r="A225">
        <v>20</v>
      </c>
      <c r="B225" t="s">
        <v>491</v>
      </c>
      <c r="C225" t="s">
        <v>19</v>
      </c>
      <c r="D225">
        <v>11</v>
      </c>
      <c r="E225" t="s">
        <v>469</v>
      </c>
      <c r="F225" t="s">
        <v>25</v>
      </c>
      <c r="G225">
        <v>3</v>
      </c>
      <c r="H225">
        <v>312</v>
      </c>
      <c r="I225">
        <v>6.1</v>
      </c>
      <c r="J225" t="s">
        <v>523</v>
      </c>
    </row>
    <row r="226" spans="1:10" x14ac:dyDescent="0.25">
      <c r="A226">
        <v>20</v>
      </c>
      <c r="B226" t="s">
        <v>491</v>
      </c>
      <c r="C226" t="s">
        <v>19</v>
      </c>
      <c r="D226">
        <v>12</v>
      </c>
      <c r="E226" t="s">
        <v>475</v>
      </c>
      <c r="F226" t="s">
        <v>28</v>
      </c>
      <c r="G226">
        <v>4</v>
      </c>
      <c r="H226">
        <v>76</v>
      </c>
      <c r="I226">
        <v>33.5</v>
      </c>
      <c r="J226" t="s">
        <v>523</v>
      </c>
    </row>
    <row r="227" spans="1:10" x14ac:dyDescent="0.25">
      <c r="A227">
        <v>19</v>
      </c>
      <c r="B227" t="s">
        <v>489</v>
      </c>
      <c r="C227" t="s">
        <v>26</v>
      </c>
      <c r="D227">
        <v>16</v>
      </c>
      <c r="E227" t="s">
        <v>513</v>
      </c>
      <c r="F227" t="s">
        <v>14</v>
      </c>
      <c r="G227">
        <v>2</v>
      </c>
      <c r="H227">
        <v>309</v>
      </c>
      <c r="I227">
        <v>4.0999999999999996</v>
      </c>
      <c r="J227" t="s">
        <v>523</v>
      </c>
    </row>
    <row r="228" spans="1:10" x14ac:dyDescent="0.25">
      <c r="A228">
        <v>19</v>
      </c>
      <c r="B228" t="s">
        <v>489</v>
      </c>
      <c r="C228" t="s">
        <v>26</v>
      </c>
      <c r="D228">
        <v>17</v>
      </c>
      <c r="E228" t="s">
        <v>531</v>
      </c>
      <c r="F228" t="s">
        <v>25</v>
      </c>
      <c r="G228">
        <v>5</v>
      </c>
      <c r="H228">
        <v>418</v>
      </c>
      <c r="I228">
        <v>7.6</v>
      </c>
      <c r="J228" t="s">
        <v>523</v>
      </c>
    </row>
    <row r="229" spans="1:10" x14ac:dyDescent="0.25">
      <c r="A229">
        <v>19</v>
      </c>
      <c r="B229" t="s">
        <v>489</v>
      </c>
      <c r="C229" t="s">
        <v>26</v>
      </c>
      <c r="D229">
        <v>18</v>
      </c>
      <c r="E229" t="s">
        <v>532</v>
      </c>
      <c r="F229" t="s">
        <v>23</v>
      </c>
      <c r="G229">
        <v>19</v>
      </c>
      <c r="H229">
        <v>998</v>
      </c>
      <c r="I229">
        <v>12.1</v>
      </c>
      <c r="J229" t="s">
        <v>523</v>
      </c>
    </row>
    <row r="230" spans="1:10" x14ac:dyDescent="0.25">
      <c r="A230">
        <v>19</v>
      </c>
      <c r="B230" t="s">
        <v>489</v>
      </c>
      <c r="C230" t="s">
        <v>26</v>
      </c>
      <c r="D230">
        <v>19</v>
      </c>
      <c r="E230" t="s">
        <v>522</v>
      </c>
      <c r="F230" t="s">
        <v>25</v>
      </c>
      <c r="G230">
        <v>37</v>
      </c>
      <c r="H230">
        <v>1142</v>
      </c>
      <c r="I230">
        <v>20.6</v>
      </c>
      <c r="J230" t="s">
        <v>523</v>
      </c>
    </row>
    <row r="231" spans="1:10" x14ac:dyDescent="0.25">
      <c r="A231">
        <v>18</v>
      </c>
      <c r="B231" t="s">
        <v>488</v>
      </c>
      <c r="C231" t="s">
        <v>19</v>
      </c>
      <c r="D231">
        <v>34</v>
      </c>
      <c r="E231" t="s">
        <v>467</v>
      </c>
      <c r="F231" t="s">
        <v>17</v>
      </c>
      <c r="G231">
        <v>8</v>
      </c>
      <c r="H231">
        <v>263</v>
      </c>
      <c r="I231">
        <v>19.399999999999999</v>
      </c>
      <c r="J231" t="s">
        <v>523</v>
      </c>
    </row>
    <row r="232" spans="1:10" x14ac:dyDescent="0.25">
      <c r="A232">
        <v>19</v>
      </c>
      <c r="B232" t="s">
        <v>489</v>
      </c>
      <c r="C232" t="s">
        <v>26</v>
      </c>
      <c r="D232">
        <v>22</v>
      </c>
      <c r="E232" t="s">
        <v>536</v>
      </c>
      <c r="F232" t="s">
        <v>14</v>
      </c>
      <c r="G232">
        <v>3</v>
      </c>
      <c r="H232">
        <v>76</v>
      </c>
      <c r="I232">
        <v>25.1</v>
      </c>
      <c r="J232" t="s">
        <v>523</v>
      </c>
    </row>
    <row r="233" spans="1:10" x14ac:dyDescent="0.25">
      <c r="A233">
        <v>19</v>
      </c>
      <c r="B233" t="s">
        <v>489</v>
      </c>
      <c r="C233" t="s">
        <v>26</v>
      </c>
      <c r="D233">
        <v>12</v>
      </c>
      <c r="E233" t="s">
        <v>475</v>
      </c>
      <c r="F233" t="s">
        <v>28</v>
      </c>
      <c r="G233">
        <v>3</v>
      </c>
      <c r="H233">
        <v>247</v>
      </c>
      <c r="I233">
        <v>7.7</v>
      </c>
      <c r="J233" t="s">
        <v>523</v>
      </c>
    </row>
    <row r="234" spans="1:10" x14ac:dyDescent="0.25">
      <c r="A234">
        <v>19</v>
      </c>
      <c r="B234" t="s">
        <v>489</v>
      </c>
      <c r="C234" t="s">
        <v>26</v>
      </c>
      <c r="D234">
        <v>13</v>
      </c>
      <c r="E234" t="s">
        <v>481</v>
      </c>
      <c r="F234" t="s">
        <v>17</v>
      </c>
      <c r="G234">
        <v>7</v>
      </c>
      <c r="H234">
        <v>499</v>
      </c>
      <c r="I234">
        <v>8.9</v>
      </c>
      <c r="J234" t="s">
        <v>523</v>
      </c>
    </row>
    <row r="235" spans="1:10" x14ac:dyDescent="0.25">
      <c r="A235">
        <v>19</v>
      </c>
      <c r="B235" t="s">
        <v>489</v>
      </c>
      <c r="C235" t="s">
        <v>26</v>
      </c>
      <c r="D235">
        <v>14</v>
      </c>
      <c r="E235" t="s">
        <v>482</v>
      </c>
      <c r="F235" t="s">
        <v>14</v>
      </c>
      <c r="G235">
        <v>4</v>
      </c>
      <c r="H235">
        <v>726</v>
      </c>
      <c r="I235">
        <v>3.5</v>
      </c>
      <c r="J235" t="s">
        <v>523</v>
      </c>
    </row>
    <row r="236" spans="1:10" x14ac:dyDescent="0.25">
      <c r="A236">
        <v>19</v>
      </c>
      <c r="B236" t="s">
        <v>489</v>
      </c>
      <c r="C236" t="s">
        <v>26</v>
      </c>
      <c r="D236">
        <v>6</v>
      </c>
      <c r="E236" t="s">
        <v>527</v>
      </c>
      <c r="F236" t="s">
        <v>17</v>
      </c>
      <c r="G236">
        <v>11</v>
      </c>
      <c r="H236">
        <v>2565</v>
      </c>
      <c r="I236">
        <v>2.7</v>
      </c>
      <c r="J236" t="s">
        <v>523</v>
      </c>
    </row>
    <row r="237" spans="1:10" x14ac:dyDescent="0.25">
      <c r="A237">
        <v>19</v>
      </c>
      <c r="B237" t="s">
        <v>489</v>
      </c>
      <c r="C237" t="s">
        <v>26</v>
      </c>
      <c r="D237">
        <v>7</v>
      </c>
      <c r="E237" t="s">
        <v>528</v>
      </c>
      <c r="F237" t="s">
        <v>28</v>
      </c>
      <c r="G237">
        <v>16</v>
      </c>
      <c r="H237">
        <v>614</v>
      </c>
      <c r="I237">
        <v>16.600000000000001</v>
      </c>
      <c r="J237" t="s">
        <v>523</v>
      </c>
    </row>
    <row r="238" spans="1:10" x14ac:dyDescent="0.25">
      <c r="A238">
        <v>19</v>
      </c>
      <c r="B238" t="s">
        <v>489</v>
      </c>
      <c r="C238" t="s">
        <v>26</v>
      </c>
      <c r="D238">
        <v>8</v>
      </c>
      <c r="E238" t="s">
        <v>529</v>
      </c>
      <c r="F238" t="s">
        <v>14</v>
      </c>
      <c r="G238">
        <v>84</v>
      </c>
      <c r="H238">
        <v>2522</v>
      </c>
      <c r="I238">
        <v>21.2</v>
      </c>
      <c r="J238" t="s">
        <v>523</v>
      </c>
    </row>
    <row r="239" spans="1:10" x14ac:dyDescent="0.25">
      <c r="A239">
        <v>19</v>
      </c>
      <c r="B239" t="s">
        <v>489</v>
      </c>
      <c r="C239" t="s">
        <v>26</v>
      </c>
      <c r="D239">
        <v>9</v>
      </c>
      <c r="E239" t="s">
        <v>468</v>
      </c>
      <c r="F239" t="s">
        <v>23</v>
      </c>
      <c r="G239">
        <v>8</v>
      </c>
      <c r="H239">
        <v>676</v>
      </c>
      <c r="I239">
        <v>7.5</v>
      </c>
      <c r="J239" t="s">
        <v>523</v>
      </c>
    </row>
    <row r="240" spans="1:10" x14ac:dyDescent="0.25">
      <c r="A240">
        <v>18</v>
      </c>
      <c r="B240" t="s">
        <v>488</v>
      </c>
      <c r="C240" t="s">
        <v>19</v>
      </c>
      <c r="D240">
        <v>25</v>
      </c>
      <c r="E240" t="s">
        <v>525</v>
      </c>
      <c r="F240" t="s">
        <v>25</v>
      </c>
      <c r="G240">
        <v>74</v>
      </c>
      <c r="H240">
        <v>2337</v>
      </c>
      <c r="I240">
        <v>20.2</v>
      </c>
      <c r="J240" t="s">
        <v>523</v>
      </c>
    </row>
    <row r="241" spans="1:10" x14ac:dyDescent="0.25">
      <c r="A241">
        <v>18</v>
      </c>
      <c r="B241" t="s">
        <v>488</v>
      </c>
      <c r="C241" t="s">
        <v>19</v>
      </c>
      <c r="D241">
        <v>26</v>
      </c>
      <c r="E241" t="s">
        <v>519</v>
      </c>
      <c r="F241" t="s">
        <v>25</v>
      </c>
      <c r="G241">
        <v>2</v>
      </c>
      <c r="H241">
        <v>162</v>
      </c>
      <c r="I241">
        <v>7.9</v>
      </c>
      <c r="J241" t="s">
        <v>523</v>
      </c>
    </row>
    <row r="242" spans="1:10" x14ac:dyDescent="0.25">
      <c r="A242">
        <v>17</v>
      </c>
      <c r="B242" t="s">
        <v>538</v>
      </c>
      <c r="C242" t="s">
        <v>19</v>
      </c>
      <c r="D242">
        <v>34</v>
      </c>
      <c r="E242" t="s">
        <v>467</v>
      </c>
      <c r="F242" t="s">
        <v>17</v>
      </c>
      <c r="G242">
        <v>11</v>
      </c>
      <c r="H242">
        <v>283</v>
      </c>
      <c r="I242">
        <v>24.8</v>
      </c>
      <c r="J242" t="s">
        <v>523</v>
      </c>
    </row>
    <row r="243" spans="1:10" x14ac:dyDescent="0.25">
      <c r="A243">
        <v>18</v>
      </c>
      <c r="B243" t="s">
        <v>488</v>
      </c>
      <c r="C243" t="s">
        <v>19</v>
      </c>
      <c r="D243">
        <v>1</v>
      </c>
      <c r="E243" t="s">
        <v>466</v>
      </c>
      <c r="F243" t="s">
        <v>23</v>
      </c>
      <c r="G243">
        <v>1</v>
      </c>
      <c r="H243">
        <v>848</v>
      </c>
      <c r="I243">
        <v>0.8</v>
      </c>
      <c r="J243" t="s">
        <v>523</v>
      </c>
    </row>
    <row r="244" spans="1:10" x14ac:dyDescent="0.25">
      <c r="A244">
        <v>18</v>
      </c>
      <c r="B244" t="s">
        <v>488</v>
      </c>
      <c r="C244" t="s">
        <v>19</v>
      </c>
      <c r="D244">
        <v>2</v>
      </c>
      <c r="E244" t="s">
        <v>462</v>
      </c>
      <c r="F244" t="s">
        <v>23</v>
      </c>
      <c r="G244">
        <v>12</v>
      </c>
      <c r="H244">
        <v>708</v>
      </c>
      <c r="I244">
        <v>10.8</v>
      </c>
      <c r="J244" t="s">
        <v>523</v>
      </c>
    </row>
    <row r="245" spans="1:10" x14ac:dyDescent="0.25">
      <c r="A245">
        <v>18</v>
      </c>
      <c r="B245" t="s">
        <v>488</v>
      </c>
      <c r="C245" t="s">
        <v>19</v>
      </c>
      <c r="D245">
        <v>3</v>
      </c>
      <c r="E245" t="s">
        <v>493</v>
      </c>
      <c r="F245" t="s">
        <v>25</v>
      </c>
      <c r="G245">
        <v>64</v>
      </c>
      <c r="H245">
        <v>1802</v>
      </c>
      <c r="I245">
        <v>22.6</v>
      </c>
      <c r="J245" t="s">
        <v>523</v>
      </c>
    </row>
    <row r="246" spans="1:10" x14ac:dyDescent="0.25">
      <c r="A246">
        <v>18</v>
      </c>
      <c r="B246" t="s">
        <v>488</v>
      </c>
      <c r="C246" t="s">
        <v>19</v>
      </c>
      <c r="D246">
        <v>30</v>
      </c>
      <c r="E246" t="s">
        <v>530</v>
      </c>
      <c r="F246" t="s">
        <v>14</v>
      </c>
      <c r="G246">
        <v>15</v>
      </c>
      <c r="H246">
        <v>817</v>
      </c>
      <c r="I246">
        <v>11.7</v>
      </c>
      <c r="J246" t="s">
        <v>523</v>
      </c>
    </row>
    <row r="247" spans="1:10" x14ac:dyDescent="0.25">
      <c r="A247">
        <v>18</v>
      </c>
      <c r="B247" t="s">
        <v>488</v>
      </c>
      <c r="C247" t="s">
        <v>19</v>
      </c>
      <c r="D247">
        <v>31</v>
      </c>
      <c r="E247" t="s">
        <v>496</v>
      </c>
      <c r="F247" t="s">
        <v>28</v>
      </c>
      <c r="G247">
        <v>4</v>
      </c>
      <c r="H247">
        <v>1128</v>
      </c>
      <c r="I247">
        <v>2.2999999999999998</v>
      </c>
      <c r="J247" t="s">
        <v>523</v>
      </c>
    </row>
    <row r="248" spans="1:10" x14ac:dyDescent="0.25">
      <c r="A248">
        <v>19</v>
      </c>
      <c r="B248" t="s">
        <v>489</v>
      </c>
      <c r="C248" t="s">
        <v>26</v>
      </c>
      <c r="D248">
        <v>1</v>
      </c>
      <c r="E248" t="s">
        <v>466</v>
      </c>
      <c r="F248" t="s">
        <v>23</v>
      </c>
      <c r="G248">
        <v>5</v>
      </c>
      <c r="H248">
        <v>707</v>
      </c>
      <c r="I248">
        <v>4.5</v>
      </c>
      <c r="J248" t="s">
        <v>523</v>
      </c>
    </row>
    <row r="249" spans="1:10" x14ac:dyDescent="0.25">
      <c r="A249">
        <v>19</v>
      </c>
      <c r="B249" t="s">
        <v>489</v>
      </c>
      <c r="C249" t="s">
        <v>26</v>
      </c>
      <c r="D249">
        <v>2</v>
      </c>
      <c r="E249" t="s">
        <v>462</v>
      </c>
      <c r="F249" t="s">
        <v>23</v>
      </c>
      <c r="G249">
        <v>14</v>
      </c>
      <c r="H249">
        <v>399</v>
      </c>
      <c r="I249">
        <v>22.4</v>
      </c>
      <c r="J249" t="s">
        <v>523</v>
      </c>
    </row>
    <row r="250" spans="1:10" x14ac:dyDescent="0.25">
      <c r="A250">
        <v>19</v>
      </c>
      <c r="B250" t="s">
        <v>489</v>
      </c>
      <c r="C250" t="s">
        <v>26</v>
      </c>
      <c r="D250">
        <v>3</v>
      </c>
      <c r="E250" t="s">
        <v>493</v>
      </c>
      <c r="F250" t="s">
        <v>25</v>
      </c>
      <c r="G250">
        <v>7</v>
      </c>
      <c r="H250">
        <v>1266</v>
      </c>
      <c r="I250">
        <v>3.5</v>
      </c>
      <c r="J250" t="s">
        <v>523</v>
      </c>
    </row>
    <row r="251" spans="1:10" x14ac:dyDescent="0.25">
      <c r="A251">
        <v>18</v>
      </c>
      <c r="B251" t="s">
        <v>488</v>
      </c>
      <c r="C251" t="s">
        <v>19</v>
      </c>
      <c r="D251">
        <v>5</v>
      </c>
      <c r="E251" t="s">
        <v>464</v>
      </c>
      <c r="F251" t="s">
        <v>14</v>
      </c>
      <c r="G251">
        <v>7</v>
      </c>
      <c r="H251">
        <v>198</v>
      </c>
      <c r="I251">
        <v>22.5</v>
      </c>
      <c r="J251" t="s">
        <v>523</v>
      </c>
    </row>
    <row r="252" spans="1:10" x14ac:dyDescent="0.25">
      <c r="A252">
        <v>18</v>
      </c>
      <c r="B252" t="s">
        <v>488</v>
      </c>
      <c r="C252" t="s">
        <v>19</v>
      </c>
      <c r="D252">
        <v>6</v>
      </c>
      <c r="E252" t="s">
        <v>527</v>
      </c>
      <c r="F252" t="s">
        <v>17</v>
      </c>
      <c r="G252">
        <v>22</v>
      </c>
      <c r="H252">
        <v>1590</v>
      </c>
      <c r="I252">
        <v>8.8000000000000007</v>
      </c>
      <c r="J252" t="s">
        <v>523</v>
      </c>
    </row>
    <row r="253" spans="1:10" x14ac:dyDescent="0.25">
      <c r="A253">
        <v>18</v>
      </c>
      <c r="B253" t="s">
        <v>488</v>
      </c>
      <c r="C253" t="s">
        <v>19</v>
      </c>
      <c r="D253">
        <v>7</v>
      </c>
      <c r="E253" t="s">
        <v>528</v>
      </c>
      <c r="F253" t="s">
        <v>28</v>
      </c>
      <c r="G253">
        <v>16</v>
      </c>
      <c r="H253">
        <v>549</v>
      </c>
      <c r="I253">
        <v>18.600000000000001</v>
      </c>
      <c r="J253" t="s">
        <v>523</v>
      </c>
    </row>
    <row r="254" spans="1:10" x14ac:dyDescent="0.25">
      <c r="A254">
        <v>18</v>
      </c>
      <c r="B254" t="s">
        <v>488</v>
      </c>
      <c r="C254" t="s">
        <v>19</v>
      </c>
      <c r="D254">
        <v>8</v>
      </c>
      <c r="E254" t="s">
        <v>529</v>
      </c>
      <c r="F254" t="s">
        <v>14</v>
      </c>
      <c r="G254">
        <v>52</v>
      </c>
      <c r="H254">
        <v>1142</v>
      </c>
      <c r="I254">
        <v>29</v>
      </c>
      <c r="J254" t="s">
        <v>523</v>
      </c>
    </row>
    <row r="255" spans="1:10" x14ac:dyDescent="0.25">
      <c r="A255">
        <v>18</v>
      </c>
      <c r="B255" t="s">
        <v>488</v>
      </c>
      <c r="C255" t="s">
        <v>19</v>
      </c>
      <c r="D255">
        <v>15</v>
      </c>
      <c r="E255" t="s">
        <v>471</v>
      </c>
      <c r="F255" t="s">
        <v>23</v>
      </c>
      <c r="G255">
        <v>5</v>
      </c>
      <c r="H255">
        <v>471</v>
      </c>
      <c r="I255">
        <v>6.8</v>
      </c>
      <c r="J255" t="s">
        <v>523</v>
      </c>
    </row>
    <row r="256" spans="1:10" x14ac:dyDescent="0.25">
      <c r="A256">
        <v>18</v>
      </c>
      <c r="B256" t="s">
        <v>488</v>
      </c>
      <c r="C256" t="s">
        <v>19</v>
      </c>
      <c r="D256">
        <v>16</v>
      </c>
      <c r="E256" t="s">
        <v>513</v>
      </c>
      <c r="F256" t="s">
        <v>14</v>
      </c>
      <c r="G256">
        <v>10</v>
      </c>
      <c r="H256">
        <v>422</v>
      </c>
      <c r="I256">
        <v>15.1</v>
      </c>
      <c r="J256" t="s">
        <v>523</v>
      </c>
    </row>
    <row r="257" spans="1:10" x14ac:dyDescent="0.25">
      <c r="A257">
        <v>18</v>
      </c>
      <c r="B257" t="s">
        <v>488</v>
      </c>
      <c r="C257" t="s">
        <v>19</v>
      </c>
      <c r="D257">
        <v>17</v>
      </c>
      <c r="E257" t="s">
        <v>531</v>
      </c>
      <c r="F257" t="s">
        <v>25</v>
      </c>
      <c r="G257">
        <v>19</v>
      </c>
      <c r="H257">
        <v>448</v>
      </c>
      <c r="I257">
        <v>27</v>
      </c>
      <c r="J257" t="s">
        <v>523</v>
      </c>
    </row>
    <row r="258" spans="1:10" x14ac:dyDescent="0.25">
      <c r="A258">
        <v>18</v>
      </c>
      <c r="B258" t="s">
        <v>488</v>
      </c>
      <c r="C258" t="s">
        <v>19</v>
      </c>
      <c r="D258">
        <v>18</v>
      </c>
      <c r="E258" t="s">
        <v>532</v>
      </c>
      <c r="F258" t="s">
        <v>23</v>
      </c>
      <c r="G258">
        <v>29</v>
      </c>
      <c r="H258">
        <v>827</v>
      </c>
      <c r="I258">
        <v>22.3</v>
      </c>
      <c r="J258" t="s">
        <v>523</v>
      </c>
    </row>
    <row r="259" spans="1:10" x14ac:dyDescent="0.25">
      <c r="A259">
        <v>18</v>
      </c>
      <c r="B259" t="s">
        <v>488</v>
      </c>
      <c r="C259" t="s">
        <v>19</v>
      </c>
      <c r="D259">
        <v>19</v>
      </c>
      <c r="E259" t="s">
        <v>522</v>
      </c>
      <c r="F259" t="s">
        <v>25</v>
      </c>
      <c r="G259">
        <v>15</v>
      </c>
      <c r="H259">
        <v>1171</v>
      </c>
      <c r="I259">
        <v>8.1999999999999993</v>
      </c>
      <c r="J259" t="s">
        <v>523</v>
      </c>
    </row>
    <row r="260" spans="1:10" x14ac:dyDescent="0.25">
      <c r="A260">
        <v>18</v>
      </c>
      <c r="B260" t="s">
        <v>488</v>
      </c>
      <c r="C260" t="s">
        <v>19</v>
      </c>
      <c r="D260">
        <v>20</v>
      </c>
      <c r="E260" t="s">
        <v>533</v>
      </c>
      <c r="F260" t="s">
        <v>28</v>
      </c>
      <c r="G260">
        <v>3</v>
      </c>
      <c r="H260">
        <v>59</v>
      </c>
      <c r="I260">
        <v>32.4</v>
      </c>
      <c r="J260" t="s">
        <v>523</v>
      </c>
    </row>
    <row r="261" spans="1:10" x14ac:dyDescent="0.25">
      <c r="A261">
        <v>16</v>
      </c>
      <c r="B261" t="s">
        <v>487</v>
      </c>
      <c r="C261" t="s">
        <v>19</v>
      </c>
      <c r="D261">
        <v>27</v>
      </c>
      <c r="E261" t="s">
        <v>526</v>
      </c>
      <c r="F261" t="s">
        <v>25</v>
      </c>
      <c r="G261">
        <v>15</v>
      </c>
      <c r="H261">
        <v>312</v>
      </c>
      <c r="I261">
        <v>30.6</v>
      </c>
      <c r="J261" t="s">
        <v>523</v>
      </c>
    </row>
    <row r="262" spans="1:10" x14ac:dyDescent="0.25">
      <c r="A262">
        <v>16</v>
      </c>
      <c r="B262" t="s">
        <v>487</v>
      </c>
      <c r="C262" t="s">
        <v>19</v>
      </c>
      <c r="D262">
        <v>31</v>
      </c>
      <c r="E262" t="s">
        <v>496</v>
      </c>
      <c r="F262" t="s">
        <v>28</v>
      </c>
      <c r="G262">
        <v>14</v>
      </c>
      <c r="H262">
        <v>1270</v>
      </c>
      <c r="I262">
        <v>7</v>
      </c>
      <c r="J262" t="s">
        <v>523</v>
      </c>
    </row>
    <row r="263" spans="1:10" x14ac:dyDescent="0.25">
      <c r="A263">
        <v>16</v>
      </c>
      <c r="B263" t="s">
        <v>487</v>
      </c>
      <c r="C263" t="s">
        <v>19</v>
      </c>
      <c r="D263">
        <v>33</v>
      </c>
      <c r="E263" t="s">
        <v>490</v>
      </c>
      <c r="F263" t="s">
        <v>23</v>
      </c>
      <c r="G263">
        <v>6</v>
      </c>
      <c r="H263">
        <v>147</v>
      </c>
      <c r="I263">
        <v>26</v>
      </c>
      <c r="J263" t="s">
        <v>523</v>
      </c>
    </row>
    <row r="264" spans="1:10" x14ac:dyDescent="0.25">
      <c r="A264">
        <v>16</v>
      </c>
      <c r="B264" t="s">
        <v>487</v>
      </c>
      <c r="C264" t="s">
        <v>19</v>
      </c>
      <c r="D264">
        <v>34</v>
      </c>
      <c r="E264" t="s">
        <v>467</v>
      </c>
      <c r="F264" t="s">
        <v>17</v>
      </c>
      <c r="G264">
        <v>2</v>
      </c>
      <c r="H264">
        <v>378</v>
      </c>
      <c r="I264">
        <v>3.4</v>
      </c>
      <c r="J264" t="s">
        <v>523</v>
      </c>
    </row>
    <row r="265" spans="1:10" x14ac:dyDescent="0.25">
      <c r="A265">
        <v>17</v>
      </c>
      <c r="B265" t="s">
        <v>538</v>
      </c>
      <c r="C265" t="s">
        <v>19</v>
      </c>
      <c r="D265">
        <v>1</v>
      </c>
      <c r="E265" t="s">
        <v>466</v>
      </c>
      <c r="F265" t="s">
        <v>23</v>
      </c>
      <c r="G265">
        <v>22</v>
      </c>
      <c r="H265">
        <v>1809</v>
      </c>
      <c r="I265">
        <v>7.7</v>
      </c>
      <c r="J265" t="s">
        <v>523</v>
      </c>
    </row>
    <row r="266" spans="1:10" x14ac:dyDescent="0.25">
      <c r="A266">
        <v>17</v>
      </c>
      <c r="B266" t="s">
        <v>538</v>
      </c>
      <c r="C266" t="s">
        <v>19</v>
      </c>
      <c r="D266">
        <v>2</v>
      </c>
      <c r="E266" t="s">
        <v>462</v>
      </c>
      <c r="F266" t="s">
        <v>23</v>
      </c>
      <c r="G266">
        <v>15</v>
      </c>
      <c r="H266">
        <v>1317</v>
      </c>
      <c r="I266">
        <v>7.3</v>
      </c>
      <c r="J266" t="s">
        <v>523</v>
      </c>
    </row>
    <row r="267" spans="1:10" x14ac:dyDescent="0.25">
      <c r="A267">
        <v>17</v>
      </c>
      <c r="B267" t="s">
        <v>538</v>
      </c>
      <c r="C267" t="s">
        <v>19</v>
      </c>
      <c r="D267">
        <v>3</v>
      </c>
      <c r="E267" t="s">
        <v>493</v>
      </c>
      <c r="F267" t="s">
        <v>25</v>
      </c>
      <c r="G267">
        <v>8</v>
      </c>
      <c r="H267">
        <v>4218</v>
      </c>
      <c r="I267">
        <v>1.2</v>
      </c>
      <c r="J267" t="s">
        <v>523</v>
      </c>
    </row>
    <row r="268" spans="1:10" x14ac:dyDescent="0.25">
      <c r="A268">
        <v>17</v>
      </c>
      <c r="B268" t="s">
        <v>538</v>
      </c>
      <c r="C268" t="s">
        <v>19</v>
      </c>
      <c r="D268">
        <v>6</v>
      </c>
      <c r="E268" t="s">
        <v>527</v>
      </c>
      <c r="F268" t="s">
        <v>17</v>
      </c>
      <c r="G268">
        <v>16</v>
      </c>
      <c r="H268">
        <v>1164</v>
      </c>
      <c r="I268">
        <v>8.8000000000000007</v>
      </c>
      <c r="J268" t="s">
        <v>523</v>
      </c>
    </row>
    <row r="269" spans="1:10" x14ac:dyDescent="0.25">
      <c r="A269">
        <v>17</v>
      </c>
      <c r="B269" t="s">
        <v>538</v>
      </c>
      <c r="C269" t="s">
        <v>19</v>
      </c>
      <c r="D269">
        <v>7</v>
      </c>
      <c r="E269" t="s">
        <v>528</v>
      </c>
      <c r="F269" t="s">
        <v>28</v>
      </c>
      <c r="G269">
        <v>20</v>
      </c>
      <c r="H269">
        <v>1173</v>
      </c>
      <c r="I269">
        <v>10.9</v>
      </c>
      <c r="J269" t="s">
        <v>523</v>
      </c>
    </row>
    <row r="270" spans="1:10" x14ac:dyDescent="0.25">
      <c r="A270">
        <v>17</v>
      </c>
      <c r="B270" t="s">
        <v>538</v>
      </c>
      <c r="C270" t="s">
        <v>19</v>
      </c>
      <c r="D270">
        <v>8</v>
      </c>
      <c r="E270" t="s">
        <v>529</v>
      </c>
      <c r="F270" t="s">
        <v>14</v>
      </c>
      <c r="G270">
        <v>20</v>
      </c>
      <c r="H270">
        <v>1972</v>
      </c>
      <c r="I270">
        <v>6.5</v>
      </c>
      <c r="J270" t="s">
        <v>523</v>
      </c>
    </row>
    <row r="271" spans="1:10" x14ac:dyDescent="0.25">
      <c r="A271">
        <v>17</v>
      </c>
      <c r="B271" t="s">
        <v>538</v>
      </c>
      <c r="C271" t="s">
        <v>19</v>
      </c>
      <c r="D271">
        <v>9</v>
      </c>
      <c r="E271" t="s">
        <v>468</v>
      </c>
      <c r="F271" t="s">
        <v>23</v>
      </c>
      <c r="G271">
        <v>7</v>
      </c>
      <c r="H271">
        <v>1419</v>
      </c>
      <c r="I271">
        <v>3.1</v>
      </c>
      <c r="J271" t="s">
        <v>523</v>
      </c>
    </row>
    <row r="272" spans="1:10" x14ac:dyDescent="0.25">
      <c r="A272">
        <v>17</v>
      </c>
      <c r="B272" t="s">
        <v>538</v>
      </c>
      <c r="C272" t="s">
        <v>19</v>
      </c>
      <c r="D272">
        <v>11</v>
      </c>
      <c r="E272" t="s">
        <v>469</v>
      </c>
      <c r="F272" t="s">
        <v>25</v>
      </c>
      <c r="G272">
        <v>6</v>
      </c>
      <c r="H272">
        <v>542</v>
      </c>
      <c r="I272">
        <v>7.1</v>
      </c>
      <c r="J272" t="s">
        <v>523</v>
      </c>
    </row>
    <row r="273" spans="1:10" x14ac:dyDescent="0.25">
      <c r="A273">
        <v>17</v>
      </c>
      <c r="B273" t="s">
        <v>538</v>
      </c>
      <c r="C273" t="s">
        <v>19</v>
      </c>
      <c r="D273">
        <v>12</v>
      </c>
      <c r="E273" t="s">
        <v>475</v>
      </c>
      <c r="F273" t="s">
        <v>28</v>
      </c>
      <c r="G273">
        <v>10</v>
      </c>
      <c r="H273">
        <v>290</v>
      </c>
      <c r="I273">
        <v>22</v>
      </c>
      <c r="J273" t="s">
        <v>523</v>
      </c>
    </row>
    <row r="274" spans="1:10" x14ac:dyDescent="0.25">
      <c r="A274">
        <v>17</v>
      </c>
      <c r="B274" t="s">
        <v>538</v>
      </c>
      <c r="C274" t="s">
        <v>19</v>
      </c>
      <c r="D274">
        <v>13</v>
      </c>
      <c r="E274" t="s">
        <v>481</v>
      </c>
      <c r="F274" t="s">
        <v>17</v>
      </c>
      <c r="G274">
        <v>16</v>
      </c>
      <c r="H274">
        <v>323</v>
      </c>
      <c r="I274">
        <v>31.6</v>
      </c>
      <c r="J274" t="s">
        <v>523</v>
      </c>
    </row>
    <row r="275" spans="1:10" x14ac:dyDescent="0.25">
      <c r="A275">
        <v>17</v>
      </c>
      <c r="B275" t="s">
        <v>538</v>
      </c>
      <c r="C275" t="s">
        <v>19</v>
      </c>
      <c r="D275">
        <v>14</v>
      </c>
      <c r="E275" t="s">
        <v>482</v>
      </c>
      <c r="F275" t="s">
        <v>14</v>
      </c>
      <c r="G275">
        <v>4</v>
      </c>
      <c r="H275">
        <v>636</v>
      </c>
      <c r="I275">
        <v>4</v>
      </c>
      <c r="J275" t="s">
        <v>523</v>
      </c>
    </row>
    <row r="276" spans="1:10" x14ac:dyDescent="0.25">
      <c r="A276">
        <v>17</v>
      </c>
      <c r="B276" t="s">
        <v>538</v>
      </c>
      <c r="C276" t="s">
        <v>19</v>
      </c>
      <c r="D276">
        <v>15</v>
      </c>
      <c r="E276" t="s">
        <v>471</v>
      </c>
      <c r="F276" t="s">
        <v>23</v>
      </c>
      <c r="G276">
        <v>11</v>
      </c>
      <c r="H276">
        <v>393</v>
      </c>
      <c r="I276">
        <v>17.8</v>
      </c>
      <c r="J276" t="s">
        <v>523</v>
      </c>
    </row>
    <row r="277" spans="1:10" x14ac:dyDescent="0.25">
      <c r="A277">
        <v>17</v>
      </c>
      <c r="B277" t="s">
        <v>538</v>
      </c>
      <c r="C277" t="s">
        <v>19</v>
      </c>
      <c r="D277">
        <v>17</v>
      </c>
      <c r="E277" t="s">
        <v>531</v>
      </c>
      <c r="F277" t="s">
        <v>25</v>
      </c>
      <c r="G277">
        <v>27</v>
      </c>
      <c r="H277">
        <v>805</v>
      </c>
      <c r="I277">
        <v>21.4</v>
      </c>
      <c r="J277" t="s">
        <v>523</v>
      </c>
    </row>
    <row r="278" spans="1:10" x14ac:dyDescent="0.25">
      <c r="A278">
        <v>17</v>
      </c>
      <c r="B278" t="s">
        <v>538</v>
      </c>
      <c r="C278" t="s">
        <v>19</v>
      </c>
      <c r="D278">
        <v>18</v>
      </c>
      <c r="E278" t="s">
        <v>532</v>
      </c>
      <c r="F278" t="s">
        <v>23</v>
      </c>
      <c r="G278">
        <v>27</v>
      </c>
      <c r="H278">
        <v>1646</v>
      </c>
      <c r="I278">
        <v>10.4</v>
      </c>
      <c r="J278" t="s">
        <v>523</v>
      </c>
    </row>
    <row r="279" spans="1:10" x14ac:dyDescent="0.25">
      <c r="A279">
        <v>17</v>
      </c>
      <c r="B279" t="s">
        <v>538</v>
      </c>
      <c r="C279" t="s">
        <v>19</v>
      </c>
      <c r="D279">
        <v>19</v>
      </c>
      <c r="E279" t="s">
        <v>522</v>
      </c>
      <c r="F279" t="s">
        <v>25</v>
      </c>
      <c r="G279">
        <v>53</v>
      </c>
      <c r="H279">
        <v>2620</v>
      </c>
      <c r="I279">
        <v>12.9</v>
      </c>
      <c r="J279" t="s">
        <v>523</v>
      </c>
    </row>
    <row r="280" spans="1:10" x14ac:dyDescent="0.25">
      <c r="A280">
        <v>17</v>
      </c>
      <c r="B280" t="s">
        <v>538</v>
      </c>
      <c r="C280" t="s">
        <v>19</v>
      </c>
      <c r="D280">
        <v>24</v>
      </c>
      <c r="E280" t="s">
        <v>524</v>
      </c>
      <c r="F280" t="s">
        <v>28</v>
      </c>
      <c r="G280">
        <v>27</v>
      </c>
      <c r="H280">
        <v>918</v>
      </c>
      <c r="I280">
        <v>18.7</v>
      </c>
      <c r="J280" t="s">
        <v>523</v>
      </c>
    </row>
    <row r="281" spans="1:10" x14ac:dyDescent="0.25">
      <c r="A281">
        <v>17</v>
      </c>
      <c r="B281" t="s">
        <v>538</v>
      </c>
      <c r="C281" t="s">
        <v>19</v>
      </c>
      <c r="D281">
        <v>25</v>
      </c>
      <c r="E281" t="s">
        <v>525</v>
      </c>
      <c r="F281" t="s">
        <v>25</v>
      </c>
      <c r="G281">
        <v>59</v>
      </c>
      <c r="H281">
        <v>3676</v>
      </c>
      <c r="I281">
        <v>10.199999999999999</v>
      </c>
      <c r="J281" t="s">
        <v>523</v>
      </c>
    </row>
    <row r="282" spans="1:10" x14ac:dyDescent="0.25">
      <c r="A282">
        <v>17</v>
      </c>
      <c r="B282" t="s">
        <v>538</v>
      </c>
      <c r="C282" t="s">
        <v>19</v>
      </c>
      <c r="D282">
        <v>27</v>
      </c>
      <c r="E282" t="s">
        <v>526</v>
      </c>
      <c r="F282" t="s">
        <v>25</v>
      </c>
      <c r="G282">
        <v>12</v>
      </c>
      <c r="H282">
        <v>751</v>
      </c>
      <c r="I282">
        <v>10.199999999999999</v>
      </c>
      <c r="J282" t="s">
        <v>523</v>
      </c>
    </row>
    <row r="283" spans="1:10" x14ac:dyDescent="0.25">
      <c r="A283">
        <v>17</v>
      </c>
      <c r="B283" t="s">
        <v>538</v>
      </c>
      <c r="C283" t="s">
        <v>19</v>
      </c>
      <c r="D283">
        <v>28</v>
      </c>
      <c r="E283" t="s">
        <v>477</v>
      </c>
      <c r="F283" t="s">
        <v>25</v>
      </c>
      <c r="G283">
        <v>3</v>
      </c>
      <c r="H283">
        <v>163</v>
      </c>
      <c r="I283">
        <v>11.7</v>
      </c>
      <c r="J283" t="s">
        <v>523</v>
      </c>
    </row>
    <row r="284" spans="1:10" x14ac:dyDescent="0.25">
      <c r="A284">
        <v>17</v>
      </c>
      <c r="B284" t="s">
        <v>538</v>
      </c>
      <c r="C284" t="s">
        <v>19</v>
      </c>
      <c r="D284">
        <v>30</v>
      </c>
      <c r="E284" t="s">
        <v>530</v>
      </c>
      <c r="F284" t="s">
        <v>14</v>
      </c>
      <c r="G284">
        <v>22</v>
      </c>
      <c r="H284">
        <v>1301</v>
      </c>
      <c r="I284">
        <v>10.8</v>
      </c>
      <c r="J284" t="s">
        <v>523</v>
      </c>
    </row>
    <row r="285" spans="1:10" x14ac:dyDescent="0.25">
      <c r="A285">
        <v>17</v>
      </c>
      <c r="B285" t="s">
        <v>538</v>
      </c>
      <c r="C285" t="s">
        <v>19</v>
      </c>
      <c r="D285">
        <v>31</v>
      </c>
      <c r="E285" t="s">
        <v>496</v>
      </c>
      <c r="F285" t="s">
        <v>28</v>
      </c>
      <c r="G285">
        <v>20</v>
      </c>
      <c r="H285">
        <v>2730</v>
      </c>
      <c r="I285">
        <v>4.7</v>
      </c>
      <c r="J285" t="s">
        <v>523</v>
      </c>
    </row>
    <row r="286" spans="1:10" x14ac:dyDescent="0.25">
      <c r="A286">
        <v>8</v>
      </c>
      <c r="B286" t="s">
        <v>480</v>
      </c>
      <c r="C286" t="s">
        <v>19</v>
      </c>
      <c r="D286">
        <v>17</v>
      </c>
      <c r="E286" t="s">
        <v>531</v>
      </c>
      <c r="F286" t="s">
        <v>25</v>
      </c>
      <c r="G286">
        <v>5</v>
      </c>
      <c r="H286">
        <v>607</v>
      </c>
      <c r="I286">
        <v>5.2</v>
      </c>
      <c r="J286" t="s">
        <v>523</v>
      </c>
    </row>
    <row r="287" spans="1:10" x14ac:dyDescent="0.25">
      <c r="A287">
        <v>8</v>
      </c>
      <c r="B287" t="s">
        <v>480</v>
      </c>
      <c r="C287" t="s">
        <v>19</v>
      </c>
      <c r="D287">
        <v>18</v>
      </c>
      <c r="E287" t="s">
        <v>532</v>
      </c>
      <c r="F287" t="s">
        <v>23</v>
      </c>
      <c r="G287">
        <v>18</v>
      </c>
      <c r="H287">
        <v>502</v>
      </c>
      <c r="I287">
        <v>22.8</v>
      </c>
      <c r="J287" t="s">
        <v>523</v>
      </c>
    </row>
    <row r="288" spans="1:10" x14ac:dyDescent="0.25">
      <c r="A288">
        <v>8</v>
      </c>
      <c r="B288" t="s">
        <v>480</v>
      </c>
      <c r="C288" t="s">
        <v>19</v>
      </c>
      <c r="D288">
        <v>19</v>
      </c>
      <c r="E288" t="s">
        <v>522</v>
      </c>
      <c r="F288" t="s">
        <v>25</v>
      </c>
      <c r="G288">
        <v>11</v>
      </c>
      <c r="H288">
        <v>1402</v>
      </c>
      <c r="I288">
        <v>5</v>
      </c>
      <c r="J288" t="s">
        <v>523</v>
      </c>
    </row>
    <row r="289" spans="1:10" x14ac:dyDescent="0.25">
      <c r="A289">
        <v>8</v>
      </c>
      <c r="B289" t="s">
        <v>480</v>
      </c>
      <c r="C289" t="s">
        <v>19</v>
      </c>
      <c r="D289">
        <v>11</v>
      </c>
      <c r="E289" t="s">
        <v>469</v>
      </c>
      <c r="F289" t="s">
        <v>25</v>
      </c>
      <c r="G289">
        <v>8</v>
      </c>
      <c r="H289">
        <v>252</v>
      </c>
      <c r="I289">
        <v>20.2</v>
      </c>
      <c r="J289" t="s">
        <v>523</v>
      </c>
    </row>
    <row r="290" spans="1:10" x14ac:dyDescent="0.25">
      <c r="A290">
        <v>8</v>
      </c>
      <c r="B290" t="s">
        <v>480</v>
      </c>
      <c r="C290" t="s">
        <v>19</v>
      </c>
      <c r="D290">
        <v>12</v>
      </c>
      <c r="E290" t="s">
        <v>475</v>
      </c>
      <c r="F290" t="s">
        <v>28</v>
      </c>
      <c r="G290">
        <v>4</v>
      </c>
      <c r="H290">
        <v>215</v>
      </c>
      <c r="I290">
        <v>11.9</v>
      </c>
      <c r="J290" t="s">
        <v>523</v>
      </c>
    </row>
    <row r="291" spans="1:10" x14ac:dyDescent="0.25">
      <c r="A291">
        <v>8</v>
      </c>
      <c r="B291" t="s">
        <v>480</v>
      </c>
      <c r="C291" t="s">
        <v>19</v>
      </c>
      <c r="D291">
        <v>21</v>
      </c>
      <c r="E291" t="s">
        <v>476</v>
      </c>
      <c r="F291" t="s">
        <v>28</v>
      </c>
      <c r="G291">
        <v>37</v>
      </c>
      <c r="H291">
        <v>1341</v>
      </c>
      <c r="I291">
        <v>17.600000000000001</v>
      </c>
      <c r="J291" t="s">
        <v>523</v>
      </c>
    </row>
    <row r="292" spans="1:10" x14ac:dyDescent="0.25">
      <c r="A292">
        <v>8</v>
      </c>
      <c r="B292" t="s">
        <v>480</v>
      </c>
      <c r="C292" t="s">
        <v>19</v>
      </c>
      <c r="D292">
        <v>23</v>
      </c>
      <c r="E292" t="s">
        <v>506</v>
      </c>
      <c r="F292" t="s">
        <v>23</v>
      </c>
      <c r="G292">
        <v>8</v>
      </c>
      <c r="H292">
        <v>183</v>
      </c>
      <c r="I292">
        <v>27.8</v>
      </c>
      <c r="J292" t="s">
        <v>523</v>
      </c>
    </row>
    <row r="293" spans="1:10" x14ac:dyDescent="0.25">
      <c r="A293">
        <v>8</v>
      </c>
      <c r="B293" t="s">
        <v>480</v>
      </c>
      <c r="C293" t="s">
        <v>19</v>
      </c>
      <c r="D293">
        <v>24</v>
      </c>
      <c r="E293" t="s">
        <v>524</v>
      </c>
      <c r="F293" t="s">
        <v>28</v>
      </c>
      <c r="G293">
        <v>7</v>
      </c>
      <c r="H293">
        <v>562</v>
      </c>
      <c r="I293">
        <v>7.9</v>
      </c>
      <c r="J293" t="s">
        <v>523</v>
      </c>
    </row>
    <row r="294" spans="1:10" x14ac:dyDescent="0.25">
      <c r="A294">
        <v>8</v>
      </c>
      <c r="B294" t="s">
        <v>480</v>
      </c>
      <c r="C294" t="s">
        <v>19</v>
      </c>
      <c r="D294">
        <v>25</v>
      </c>
      <c r="E294" t="s">
        <v>525</v>
      </c>
      <c r="F294" t="s">
        <v>25</v>
      </c>
      <c r="G294">
        <v>71</v>
      </c>
      <c r="H294">
        <v>1715</v>
      </c>
      <c r="I294">
        <v>26.4</v>
      </c>
      <c r="J294" t="s">
        <v>523</v>
      </c>
    </row>
    <row r="295" spans="1:10" x14ac:dyDescent="0.25">
      <c r="A295">
        <v>8</v>
      </c>
      <c r="B295" t="s">
        <v>480</v>
      </c>
      <c r="C295" t="s">
        <v>19</v>
      </c>
      <c r="D295">
        <v>6</v>
      </c>
      <c r="E295" t="s">
        <v>527</v>
      </c>
      <c r="F295" t="s">
        <v>17</v>
      </c>
      <c r="G295">
        <v>12</v>
      </c>
      <c r="H295">
        <v>924</v>
      </c>
      <c r="I295">
        <v>8.3000000000000007</v>
      </c>
      <c r="J295" t="s">
        <v>523</v>
      </c>
    </row>
    <row r="296" spans="1:10" x14ac:dyDescent="0.25">
      <c r="A296">
        <v>8</v>
      </c>
      <c r="B296" t="s">
        <v>480</v>
      </c>
      <c r="C296" t="s">
        <v>19</v>
      </c>
      <c r="D296">
        <v>7</v>
      </c>
      <c r="E296" t="s">
        <v>528</v>
      </c>
      <c r="F296" t="s">
        <v>28</v>
      </c>
      <c r="G296">
        <v>8</v>
      </c>
      <c r="H296">
        <v>345</v>
      </c>
      <c r="I296">
        <v>14.8</v>
      </c>
      <c r="J296" t="s">
        <v>523</v>
      </c>
    </row>
    <row r="297" spans="1:10" x14ac:dyDescent="0.25">
      <c r="A297">
        <v>8</v>
      </c>
      <c r="B297" t="s">
        <v>480</v>
      </c>
      <c r="C297" t="s">
        <v>19</v>
      </c>
      <c r="D297">
        <v>8</v>
      </c>
      <c r="E297" t="s">
        <v>529</v>
      </c>
      <c r="F297" t="s">
        <v>14</v>
      </c>
      <c r="G297">
        <v>42</v>
      </c>
      <c r="H297">
        <v>1066</v>
      </c>
      <c r="I297">
        <v>25.1</v>
      </c>
      <c r="J297" t="s">
        <v>523</v>
      </c>
    </row>
    <row r="298" spans="1:10" x14ac:dyDescent="0.25">
      <c r="A298">
        <v>8</v>
      </c>
      <c r="B298" t="s">
        <v>480</v>
      </c>
      <c r="C298" t="s">
        <v>19</v>
      </c>
      <c r="D298">
        <v>1</v>
      </c>
      <c r="E298" t="s">
        <v>466</v>
      </c>
      <c r="F298" t="s">
        <v>23</v>
      </c>
      <c r="G298">
        <v>10</v>
      </c>
      <c r="H298">
        <v>1233</v>
      </c>
      <c r="I298">
        <v>5.2</v>
      </c>
      <c r="J298" t="s">
        <v>523</v>
      </c>
    </row>
    <row r="299" spans="1:10" x14ac:dyDescent="0.25">
      <c r="A299">
        <v>8</v>
      </c>
      <c r="B299" t="s">
        <v>480</v>
      </c>
      <c r="C299" t="s">
        <v>19</v>
      </c>
      <c r="D299">
        <v>2</v>
      </c>
      <c r="E299" t="s">
        <v>462</v>
      </c>
      <c r="F299" t="s">
        <v>23</v>
      </c>
      <c r="G299">
        <v>11</v>
      </c>
      <c r="H299">
        <v>561</v>
      </c>
      <c r="I299">
        <v>12.5</v>
      </c>
      <c r="J299" t="s">
        <v>523</v>
      </c>
    </row>
    <row r="300" spans="1:10" x14ac:dyDescent="0.25">
      <c r="A300">
        <v>8</v>
      </c>
      <c r="B300" t="s">
        <v>480</v>
      </c>
      <c r="C300" t="s">
        <v>19</v>
      </c>
      <c r="D300">
        <v>3</v>
      </c>
      <c r="E300" t="s">
        <v>493</v>
      </c>
      <c r="F300" t="s">
        <v>25</v>
      </c>
      <c r="G300">
        <v>8</v>
      </c>
      <c r="H300">
        <v>2374</v>
      </c>
      <c r="I300">
        <v>2.1</v>
      </c>
      <c r="J300" t="s">
        <v>523</v>
      </c>
    </row>
    <row r="301" spans="1:10" x14ac:dyDescent="0.25">
      <c r="A301">
        <v>7</v>
      </c>
      <c r="B301" t="s">
        <v>479</v>
      </c>
      <c r="C301" t="s">
        <v>19</v>
      </c>
      <c r="D301">
        <v>34</v>
      </c>
      <c r="E301" t="s">
        <v>467</v>
      </c>
      <c r="F301" t="s">
        <v>17</v>
      </c>
      <c r="G301">
        <v>2</v>
      </c>
      <c r="H301">
        <v>160</v>
      </c>
      <c r="I301">
        <v>8</v>
      </c>
      <c r="J301" t="s">
        <v>523</v>
      </c>
    </row>
    <row r="302" spans="1:10" x14ac:dyDescent="0.25">
      <c r="A302">
        <v>7</v>
      </c>
      <c r="B302" t="s">
        <v>479</v>
      </c>
      <c r="C302" t="s">
        <v>19</v>
      </c>
      <c r="D302">
        <v>30</v>
      </c>
      <c r="E302" t="s">
        <v>530</v>
      </c>
      <c r="F302" t="s">
        <v>14</v>
      </c>
      <c r="G302">
        <v>27</v>
      </c>
      <c r="H302">
        <v>1262</v>
      </c>
      <c r="I302">
        <v>13.6</v>
      </c>
      <c r="J302" t="s">
        <v>523</v>
      </c>
    </row>
    <row r="303" spans="1:10" x14ac:dyDescent="0.25">
      <c r="A303">
        <v>7</v>
      </c>
      <c r="B303" t="s">
        <v>479</v>
      </c>
      <c r="C303" t="s">
        <v>19</v>
      </c>
      <c r="D303">
        <v>31</v>
      </c>
      <c r="E303" t="s">
        <v>496</v>
      </c>
      <c r="F303" t="s">
        <v>28</v>
      </c>
      <c r="G303">
        <v>15</v>
      </c>
      <c r="H303">
        <v>902</v>
      </c>
      <c r="I303">
        <v>10.6</v>
      </c>
      <c r="J303" t="s">
        <v>523</v>
      </c>
    </row>
    <row r="304" spans="1:10" x14ac:dyDescent="0.25">
      <c r="A304">
        <v>7</v>
      </c>
      <c r="B304" t="s">
        <v>479</v>
      </c>
      <c r="C304" t="s">
        <v>19</v>
      </c>
      <c r="D304">
        <v>32</v>
      </c>
      <c r="E304" t="s">
        <v>507</v>
      </c>
      <c r="F304" t="s">
        <v>28</v>
      </c>
      <c r="G304">
        <v>3</v>
      </c>
      <c r="H304">
        <v>163</v>
      </c>
      <c r="I304">
        <v>11.7</v>
      </c>
      <c r="J304" t="s">
        <v>523</v>
      </c>
    </row>
    <row r="305" spans="1:10" x14ac:dyDescent="0.25">
      <c r="A305">
        <v>7</v>
      </c>
      <c r="B305" t="s">
        <v>479</v>
      </c>
      <c r="C305" t="s">
        <v>19</v>
      </c>
      <c r="D305">
        <v>10</v>
      </c>
      <c r="E305" t="s">
        <v>534</v>
      </c>
      <c r="F305" t="s">
        <v>23</v>
      </c>
      <c r="G305">
        <v>36</v>
      </c>
      <c r="H305">
        <v>1133</v>
      </c>
      <c r="I305">
        <v>20.2</v>
      </c>
      <c r="J305" t="s">
        <v>523</v>
      </c>
    </row>
    <row r="306" spans="1:10" x14ac:dyDescent="0.25">
      <c r="A306">
        <v>7</v>
      </c>
      <c r="B306" t="s">
        <v>479</v>
      </c>
      <c r="C306" t="s">
        <v>19</v>
      </c>
      <c r="D306">
        <v>11</v>
      </c>
      <c r="E306" t="s">
        <v>469</v>
      </c>
      <c r="F306" t="s">
        <v>25</v>
      </c>
      <c r="G306">
        <v>7</v>
      </c>
      <c r="H306">
        <v>216</v>
      </c>
      <c r="I306">
        <v>20.6</v>
      </c>
      <c r="J306" t="s">
        <v>523</v>
      </c>
    </row>
    <row r="307" spans="1:10" x14ac:dyDescent="0.25">
      <c r="A307">
        <v>7</v>
      </c>
      <c r="B307" t="s">
        <v>479</v>
      </c>
      <c r="C307" t="s">
        <v>19</v>
      </c>
      <c r="D307">
        <v>22</v>
      </c>
      <c r="E307" t="s">
        <v>536</v>
      </c>
      <c r="F307" t="s">
        <v>14</v>
      </c>
      <c r="G307">
        <v>8</v>
      </c>
      <c r="H307">
        <v>225</v>
      </c>
      <c r="I307">
        <v>22.6</v>
      </c>
      <c r="J307" t="s">
        <v>523</v>
      </c>
    </row>
    <row r="308" spans="1:10" x14ac:dyDescent="0.25">
      <c r="A308">
        <v>7</v>
      </c>
      <c r="B308" t="s">
        <v>479</v>
      </c>
      <c r="C308" t="s">
        <v>19</v>
      </c>
      <c r="D308">
        <v>23</v>
      </c>
      <c r="E308" t="s">
        <v>506</v>
      </c>
      <c r="F308" t="s">
        <v>23</v>
      </c>
      <c r="G308">
        <v>9</v>
      </c>
      <c r="H308">
        <v>187</v>
      </c>
      <c r="I308">
        <v>30.7</v>
      </c>
      <c r="J308" t="s">
        <v>523</v>
      </c>
    </row>
    <row r="309" spans="1:10" x14ac:dyDescent="0.25">
      <c r="A309">
        <v>7</v>
      </c>
      <c r="B309" t="s">
        <v>479</v>
      </c>
      <c r="C309" t="s">
        <v>19</v>
      </c>
      <c r="D309">
        <v>24</v>
      </c>
      <c r="E309" t="s">
        <v>524</v>
      </c>
      <c r="F309" t="s">
        <v>28</v>
      </c>
      <c r="G309">
        <v>25</v>
      </c>
      <c r="H309">
        <v>502</v>
      </c>
      <c r="I309">
        <v>31.7</v>
      </c>
      <c r="J309" t="s">
        <v>523</v>
      </c>
    </row>
    <row r="310" spans="1:10" x14ac:dyDescent="0.25">
      <c r="A310">
        <v>7</v>
      </c>
      <c r="B310" t="s">
        <v>479</v>
      </c>
      <c r="C310" t="s">
        <v>19</v>
      </c>
      <c r="D310">
        <v>25</v>
      </c>
      <c r="E310" t="s">
        <v>525</v>
      </c>
      <c r="F310" t="s">
        <v>25</v>
      </c>
      <c r="G310">
        <v>10</v>
      </c>
      <c r="H310">
        <v>3692</v>
      </c>
      <c r="I310">
        <v>1.7</v>
      </c>
      <c r="J310" t="s">
        <v>523</v>
      </c>
    </row>
    <row r="311" spans="1:10" x14ac:dyDescent="0.25">
      <c r="A311">
        <v>7</v>
      </c>
      <c r="B311" t="s">
        <v>479</v>
      </c>
      <c r="C311" t="s">
        <v>19</v>
      </c>
      <c r="D311">
        <v>13</v>
      </c>
      <c r="E311" t="s">
        <v>481</v>
      </c>
      <c r="F311" t="s">
        <v>17</v>
      </c>
      <c r="G311">
        <v>20</v>
      </c>
      <c r="H311">
        <v>417</v>
      </c>
      <c r="I311">
        <v>30.6</v>
      </c>
      <c r="J311" t="s">
        <v>523</v>
      </c>
    </row>
    <row r="312" spans="1:10" x14ac:dyDescent="0.25">
      <c r="A312">
        <v>7</v>
      </c>
      <c r="B312" t="s">
        <v>479</v>
      </c>
      <c r="C312" t="s">
        <v>19</v>
      </c>
      <c r="D312">
        <v>14</v>
      </c>
      <c r="E312" t="s">
        <v>482</v>
      </c>
      <c r="F312" t="s">
        <v>14</v>
      </c>
      <c r="G312">
        <v>3</v>
      </c>
      <c r="H312">
        <v>696</v>
      </c>
      <c r="I312">
        <v>2.7</v>
      </c>
      <c r="J312" t="s">
        <v>523</v>
      </c>
    </row>
    <row r="313" spans="1:10" x14ac:dyDescent="0.25">
      <c r="A313">
        <v>7</v>
      </c>
      <c r="B313" t="s">
        <v>479</v>
      </c>
      <c r="C313" t="s">
        <v>19</v>
      </c>
      <c r="D313">
        <v>15</v>
      </c>
      <c r="E313" t="s">
        <v>471</v>
      </c>
      <c r="F313" t="s">
        <v>23</v>
      </c>
      <c r="G313">
        <v>3</v>
      </c>
      <c r="H313">
        <v>1029</v>
      </c>
      <c r="I313">
        <v>1.9</v>
      </c>
      <c r="J313" t="s">
        <v>523</v>
      </c>
    </row>
    <row r="314" spans="1:10" x14ac:dyDescent="0.25">
      <c r="A314">
        <v>7</v>
      </c>
      <c r="B314" t="s">
        <v>479</v>
      </c>
      <c r="C314" t="s">
        <v>19</v>
      </c>
      <c r="D314">
        <v>16</v>
      </c>
      <c r="E314" t="s">
        <v>513</v>
      </c>
      <c r="F314" t="s">
        <v>14</v>
      </c>
      <c r="G314">
        <v>6</v>
      </c>
      <c r="H314">
        <v>190</v>
      </c>
      <c r="I314">
        <v>20.100000000000001</v>
      </c>
      <c r="J314" t="s">
        <v>523</v>
      </c>
    </row>
    <row r="315" spans="1:10" x14ac:dyDescent="0.25">
      <c r="A315">
        <v>7</v>
      </c>
      <c r="B315" t="s">
        <v>479</v>
      </c>
      <c r="C315" t="s">
        <v>19</v>
      </c>
      <c r="D315">
        <v>17</v>
      </c>
      <c r="E315" t="s">
        <v>531</v>
      </c>
      <c r="F315" t="s">
        <v>25</v>
      </c>
      <c r="G315">
        <v>4</v>
      </c>
      <c r="H315">
        <v>541</v>
      </c>
      <c r="I315">
        <v>4.7</v>
      </c>
      <c r="J315" t="s">
        <v>523</v>
      </c>
    </row>
    <row r="316" spans="1:10" x14ac:dyDescent="0.25">
      <c r="A316">
        <v>7</v>
      </c>
      <c r="B316" t="s">
        <v>479</v>
      </c>
      <c r="C316" t="s">
        <v>19</v>
      </c>
      <c r="D316">
        <v>18</v>
      </c>
      <c r="E316" t="s">
        <v>532</v>
      </c>
      <c r="F316" t="s">
        <v>23</v>
      </c>
      <c r="G316">
        <v>31</v>
      </c>
      <c r="H316">
        <v>1666</v>
      </c>
      <c r="I316">
        <v>11.9</v>
      </c>
      <c r="J316" t="s">
        <v>523</v>
      </c>
    </row>
    <row r="317" spans="1:10" x14ac:dyDescent="0.25">
      <c r="A317">
        <v>7</v>
      </c>
      <c r="B317" t="s">
        <v>479</v>
      </c>
      <c r="C317" t="s">
        <v>19</v>
      </c>
      <c r="D317">
        <v>19</v>
      </c>
      <c r="E317" t="s">
        <v>522</v>
      </c>
      <c r="F317" t="s">
        <v>25</v>
      </c>
      <c r="G317">
        <v>24</v>
      </c>
      <c r="H317">
        <v>1517</v>
      </c>
      <c r="I317">
        <v>10.1</v>
      </c>
      <c r="J317" t="s">
        <v>523</v>
      </c>
    </row>
    <row r="318" spans="1:10" x14ac:dyDescent="0.25">
      <c r="A318">
        <v>7</v>
      </c>
      <c r="B318" t="s">
        <v>479</v>
      </c>
      <c r="C318" t="s">
        <v>19</v>
      </c>
      <c r="D318">
        <v>20</v>
      </c>
      <c r="E318" t="s">
        <v>533</v>
      </c>
      <c r="F318" t="s">
        <v>28</v>
      </c>
      <c r="G318">
        <v>7</v>
      </c>
      <c r="H318">
        <v>161</v>
      </c>
      <c r="I318">
        <v>27.7</v>
      </c>
      <c r="J318" t="s">
        <v>523</v>
      </c>
    </row>
    <row r="319" spans="1:10" x14ac:dyDescent="0.25">
      <c r="A319">
        <v>6</v>
      </c>
      <c r="B319" t="s">
        <v>478</v>
      </c>
      <c r="C319" t="s">
        <v>26</v>
      </c>
      <c r="D319">
        <v>18</v>
      </c>
      <c r="E319" t="s">
        <v>532</v>
      </c>
      <c r="F319" t="s">
        <v>23</v>
      </c>
      <c r="G319">
        <v>11</v>
      </c>
      <c r="H319">
        <v>586</v>
      </c>
      <c r="I319">
        <v>12</v>
      </c>
      <c r="J319" t="s">
        <v>523</v>
      </c>
    </row>
    <row r="320" spans="1:10" x14ac:dyDescent="0.25">
      <c r="A320">
        <v>6</v>
      </c>
      <c r="B320" t="s">
        <v>478</v>
      </c>
      <c r="C320" t="s">
        <v>26</v>
      </c>
      <c r="D320">
        <v>19</v>
      </c>
      <c r="E320" t="s">
        <v>522</v>
      </c>
      <c r="F320" t="s">
        <v>25</v>
      </c>
      <c r="G320">
        <v>39</v>
      </c>
      <c r="H320">
        <v>1358</v>
      </c>
      <c r="I320">
        <v>18.3</v>
      </c>
      <c r="J320" t="s">
        <v>523</v>
      </c>
    </row>
    <row r="321" spans="1:10" x14ac:dyDescent="0.25">
      <c r="A321">
        <v>6</v>
      </c>
      <c r="B321" t="s">
        <v>478</v>
      </c>
      <c r="C321" t="s">
        <v>26</v>
      </c>
      <c r="D321">
        <v>21</v>
      </c>
      <c r="E321" t="s">
        <v>476</v>
      </c>
      <c r="F321" t="s">
        <v>28</v>
      </c>
      <c r="G321">
        <v>36</v>
      </c>
      <c r="H321">
        <v>672</v>
      </c>
      <c r="I321">
        <v>34.1</v>
      </c>
      <c r="J321" t="s">
        <v>523</v>
      </c>
    </row>
    <row r="322" spans="1:10" x14ac:dyDescent="0.25">
      <c r="A322">
        <v>6</v>
      </c>
      <c r="B322" t="s">
        <v>478</v>
      </c>
      <c r="C322" t="s">
        <v>26</v>
      </c>
      <c r="D322">
        <v>22</v>
      </c>
      <c r="E322" t="s">
        <v>536</v>
      </c>
      <c r="F322" t="s">
        <v>14</v>
      </c>
      <c r="G322">
        <v>5</v>
      </c>
      <c r="H322">
        <v>96</v>
      </c>
      <c r="I322">
        <v>33.200000000000003</v>
      </c>
      <c r="J322" t="s">
        <v>523</v>
      </c>
    </row>
    <row r="323" spans="1:10" x14ac:dyDescent="0.25">
      <c r="A323">
        <v>6</v>
      </c>
      <c r="B323" t="s">
        <v>478</v>
      </c>
      <c r="C323" t="s">
        <v>26</v>
      </c>
      <c r="D323">
        <v>24</v>
      </c>
      <c r="E323" t="s">
        <v>524</v>
      </c>
      <c r="F323" t="s">
        <v>28</v>
      </c>
      <c r="G323">
        <v>15</v>
      </c>
      <c r="H323">
        <v>498</v>
      </c>
      <c r="I323">
        <v>19.2</v>
      </c>
      <c r="J323" t="s">
        <v>523</v>
      </c>
    </row>
    <row r="324" spans="1:10" x14ac:dyDescent="0.25">
      <c r="A324">
        <v>6</v>
      </c>
      <c r="B324" t="s">
        <v>478</v>
      </c>
      <c r="C324" t="s">
        <v>26</v>
      </c>
      <c r="D324">
        <v>25</v>
      </c>
      <c r="E324" t="s">
        <v>525</v>
      </c>
      <c r="F324" t="s">
        <v>25</v>
      </c>
      <c r="G324">
        <v>62</v>
      </c>
      <c r="H324">
        <v>2116</v>
      </c>
      <c r="I324">
        <v>18.7</v>
      </c>
      <c r="J324" t="s">
        <v>523</v>
      </c>
    </row>
    <row r="325" spans="1:10" x14ac:dyDescent="0.25">
      <c r="A325">
        <v>6</v>
      </c>
      <c r="B325" t="s">
        <v>478</v>
      </c>
      <c r="C325" t="s">
        <v>26</v>
      </c>
      <c r="D325">
        <v>34</v>
      </c>
      <c r="E325" t="s">
        <v>467</v>
      </c>
      <c r="F325" t="s">
        <v>17</v>
      </c>
      <c r="G325">
        <v>8</v>
      </c>
      <c r="H325">
        <v>154</v>
      </c>
      <c r="I325">
        <v>33.1</v>
      </c>
      <c r="J325" t="s">
        <v>523</v>
      </c>
    </row>
    <row r="326" spans="1:10" x14ac:dyDescent="0.25">
      <c r="A326">
        <v>6</v>
      </c>
      <c r="B326" t="s">
        <v>478</v>
      </c>
      <c r="C326" t="s">
        <v>26</v>
      </c>
      <c r="D326">
        <v>35</v>
      </c>
      <c r="E326" t="s">
        <v>539</v>
      </c>
      <c r="F326" t="s">
        <v>14</v>
      </c>
      <c r="G326">
        <v>3</v>
      </c>
      <c r="H326">
        <v>112</v>
      </c>
      <c r="I326">
        <v>17.100000000000001</v>
      </c>
      <c r="J326" t="s">
        <v>523</v>
      </c>
    </row>
    <row r="327" spans="1:10" x14ac:dyDescent="0.25">
      <c r="A327">
        <v>7</v>
      </c>
      <c r="B327" t="s">
        <v>479</v>
      </c>
      <c r="C327" t="s">
        <v>19</v>
      </c>
      <c r="D327">
        <v>1</v>
      </c>
      <c r="E327" t="s">
        <v>466</v>
      </c>
      <c r="F327" t="s">
        <v>23</v>
      </c>
      <c r="G327">
        <v>14</v>
      </c>
      <c r="H327">
        <v>1203</v>
      </c>
      <c r="I327">
        <v>7.4</v>
      </c>
      <c r="J327" t="s">
        <v>523</v>
      </c>
    </row>
    <row r="328" spans="1:10" x14ac:dyDescent="0.25">
      <c r="A328">
        <v>7</v>
      </c>
      <c r="B328" t="s">
        <v>479</v>
      </c>
      <c r="C328" t="s">
        <v>19</v>
      </c>
      <c r="D328">
        <v>2</v>
      </c>
      <c r="E328" t="s">
        <v>462</v>
      </c>
      <c r="F328" t="s">
        <v>23</v>
      </c>
      <c r="G328">
        <v>7</v>
      </c>
      <c r="H328">
        <v>1080</v>
      </c>
      <c r="I328">
        <v>4.0999999999999996</v>
      </c>
      <c r="J328" t="s">
        <v>523</v>
      </c>
    </row>
    <row r="329" spans="1:10" x14ac:dyDescent="0.25">
      <c r="A329">
        <v>7</v>
      </c>
      <c r="B329" t="s">
        <v>479</v>
      </c>
      <c r="C329" t="s">
        <v>19</v>
      </c>
      <c r="D329">
        <v>3</v>
      </c>
      <c r="E329" t="s">
        <v>493</v>
      </c>
      <c r="F329" t="s">
        <v>25</v>
      </c>
      <c r="G329">
        <v>10</v>
      </c>
      <c r="H329">
        <v>2147</v>
      </c>
      <c r="I329">
        <v>3</v>
      </c>
      <c r="J329" t="s">
        <v>523</v>
      </c>
    </row>
    <row r="330" spans="1:10" x14ac:dyDescent="0.25">
      <c r="A330">
        <v>7</v>
      </c>
      <c r="B330" t="s">
        <v>479</v>
      </c>
      <c r="C330" t="s">
        <v>19</v>
      </c>
      <c r="D330">
        <v>4</v>
      </c>
      <c r="E330" t="s">
        <v>504</v>
      </c>
      <c r="F330" t="s">
        <v>14</v>
      </c>
      <c r="G330">
        <v>17</v>
      </c>
      <c r="H330">
        <v>402</v>
      </c>
      <c r="I330">
        <v>26.9</v>
      </c>
      <c r="J330" t="s">
        <v>523</v>
      </c>
    </row>
    <row r="331" spans="1:10" x14ac:dyDescent="0.25">
      <c r="A331">
        <v>6</v>
      </c>
      <c r="B331" t="s">
        <v>478</v>
      </c>
      <c r="C331" t="s">
        <v>26</v>
      </c>
      <c r="D331">
        <v>31</v>
      </c>
      <c r="E331" t="s">
        <v>496</v>
      </c>
      <c r="F331" t="s">
        <v>28</v>
      </c>
      <c r="G331">
        <v>17</v>
      </c>
      <c r="H331">
        <v>687</v>
      </c>
      <c r="I331">
        <v>15.8</v>
      </c>
      <c r="J331" t="s">
        <v>523</v>
      </c>
    </row>
    <row r="332" spans="1:10" x14ac:dyDescent="0.25">
      <c r="A332">
        <v>7</v>
      </c>
      <c r="B332" t="s">
        <v>479</v>
      </c>
      <c r="C332" t="s">
        <v>19</v>
      </c>
      <c r="D332">
        <v>6</v>
      </c>
      <c r="E332" t="s">
        <v>527</v>
      </c>
      <c r="F332" t="s">
        <v>17</v>
      </c>
      <c r="G332">
        <v>10</v>
      </c>
      <c r="H332">
        <v>3643</v>
      </c>
      <c r="I332">
        <v>1.7</v>
      </c>
      <c r="J332" t="s">
        <v>523</v>
      </c>
    </row>
    <row r="333" spans="1:10" x14ac:dyDescent="0.25">
      <c r="A333">
        <v>7</v>
      </c>
      <c r="B333" t="s">
        <v>479</v>
      </c>
      <c r="C333" t="s">
        <v>19</v>
      </c>
      <c r="D333">
        <v>7</v>
      </c>
      <c r="E333" t="s">
        <v>528</v>
      </c>
      <c r="F333" t="s">
        <v>28</v>
      </c>
      <c r="G333">
        <v>1</v>
      </c>
      <c r="H333">
        <v>756</v>
      </c>
      <c r="I333">
        <v>0.8</v>
      </c>
      <c r="J333" t="s">
        <v>523</v>
      </c>
    </row>
    <row r="334" spans="1:10" x14ac:dyDescent="0.25">
      <c r="A334">
        <v>7</v>
      </c>
      <c r="B334" t="s">
        <v>479</v>
      </c>
      <c r="C334" t="s">
        <v>19</v>
      </c>
      <c r="D334">
        <v>8</v>
      </c>
      <c r="E334" t="s">
        <v>529</v>
      </c>
      <c r="F334" t="s">
        <v>14</v>
      </c>
      <c r="G334">
        <v>46</v>
      </c>
      <c r="H334">
        <v>1852</v>
      </c>
      <c r="I334">
        <v>15.8</v>
      </c>
      <c r="J334" t="s">
        <v>523</v>
      </c>
    </row>
    <row r="335" spans="1:10" x14ac:dyDescent="0.25">
      <c r="A335">
        <v>8</v>
      </c>
      <c r="B335" t="s">
        <v>480</v>
      </c>
      <c r="C335" t="s">
        <v>19</v>
      </c>
      <c r="D335">
        <v>29</v>
      </c>
      <c r="E335" t="s">
        <v>472</v>
      </c>
      <c r="F335" t="s">
        <v>23</v>
      </c>
      <c r="G335">
        <v>3</v>
      </c>
      <c r="H335">
        <v>63</v>
      </c>
      <c r="I335">
        <v>30.3</v>
      </c>
      <c r="J335" t="s">
        <v>523</v>
      </c>
    </row>
    <row r="336" spans="1:10" x14ac:dyDescent="0.25">
      <c r="A336">
        <v>8</v>
      </c>
      <c r="B336" t="s">
        <v>480</v>
      </c>
      <c r="C336" t="s">
        <v>19</v>
      </c>
      <c r="D336">
        <v>30</v>
      </c>
      <c r="E336" t="s">
        <v>530</v>
      </c>
      <c r="F336" t="s">
        <v>14</v>
      </c>
      <c r="G336">
        <v>13</v>
      </c>
      <c r="H336">
        <v>1000</v>
      </c>
      <c r="I336">
        <v>8.3000000000000007</v>
      </c>
      <c r="J336" t="s">
        <v>523</v>
      </c>
    </row>
    <row r="337" spans="1:10" x14ac:dyDescent="0.25">
      <c r="A337">
        <v>8</v>
      </c>
      <c r="B337" t="s">
        <v>480</v>
      </c>
      <c r="C337" t="s">
        <v>19</v>
      </c>
      <c r="D337">
        <v>31</v>
      </c>
      <c r="E337" t="s">
        <v>496</v>
      </c>
      <c r="F337" t="s">
        <v>28</v>
      </c>
      <c r="G337">
        <v>27</v>
      </c>
      <c r="H337">
        <v>1084</v>
      </c>
      <c r="I337">
        <v>15.9</v>
      </c>
      <c r="J337" t="s">
        <v>523</v>
      </c>
    </row>
    <row r="338" spans="1:10" x14ac:dyDescent="0.25">
      <c r="A338">
        <v>9</v>
      </c>
      <c r="B338" t="s">
        <v>540</v>
      </c>
      <c r="C338" t="s">
        <v>19</v>
      </c>
      <c r="D338">
        <v>1</v>
      </c>
      <c r="E338" t="s">
        <v>466</v>
      </c>
      <c r="F338" t="s">
        <v>23</v>
      </c>
      <c r="G338">
        <v>15</v>
      </c>
      <c r="H338">
        <v>2350</v>
      </c>
      <c r="I338">
        <v>4.0999999999999996</v>
      </c>
      <c r="J338" t="s">
        <v>523</v>
      </c>
    </row>
    <row r="339" spans="1:10" x14ac:dyDescent="0.25">
      <c r="A339">
        <v>9</v>
      </c>
      <c r="B339" t="s">
        <v>540</v>
      </c>
      <c r="C339" t="s">
        <v>19</v>
      </c>
      <c r="D339">
        <v>2</v>
      </c>
      <c r="E339" t="s">
        <v>462</v>
      </c>
      <c r="F339" t="s">
        <v>23</v>
      </c>
      <c r="G339">
        <v>18</v>
      </c>
      <c r="H339">
        <v>1103</v>
      </c>
      <c r="I339">
        <v>10.4</v>
      </c>
      <c r="J339" t="s">
        <v>523</v>
      </c>
    </row>
    <row r="340" spans="1:10" x14ac:dyDescent="0.25">
      <c r="A340">
        <v>9</v>
      </c>
      <c r="B340" t="s">
        <v>540</v>
      </c>
      <c r="C340" t="s">
        <v>19</v>
      </c>
      <c r="D340">
        <v>3</v>
      </c>
      <c r="E340" t="s">
        <v>493</v>
      </c>
      <c r="F340" t="s">
        <v>25</v>
      </c>
      <c r="G340">
        <v>10</v>
      </c>
      <c r="H340">
        <v>3860</v>
      </c>
      <c r="I340">
        <v>1.7</v>
      </c>
      <c r="J340" t="s">
        <v>523</v>
      </c>
    </row>
    <row r="341" spans="1:10" x14ac:dyDescent="0.25">
      <c r="A341">
        <v>9</v>
      </c>
      <c r="B341" t="s">
        <v>540</v>
      </c>
      <c r="C341" t="s">
        <v>19</v>
      </c>
      <c r="D341">
        <v>5</v>
      </c>
      <c r="E341" t="s">
        <v>464</v>
      </c>
      <c r="F341" t="s">
        <v>14</v>
      </c>
      <c r="G341">
        <v>3</v>
      </c>
      <c r="H341">
        <v>226</v>
      </c>
      <c r="I341">
        <v>8.5</v>
      </c>
      <c r="J341" t="s">
        <v>523</v>
      </c>
    </row>
    <row r="342" spans="1:10" x14ac:dyDescent="0.25">
      <c r="A342">
        <v>9</v>
      </c>
      <c r="B342" t="s">
        <v>540</v>
      </c>
      <c r="C342" t="s">
        <v>19</v>
      </c>
      <c r="D342">
        <v>6</v>
      </c>
      <c r="E342" t="s">
        <v>527</v>
      </c>
      <c r="F342" t="s">
        <v>17</v>
      </c>
      <c r="G342">
        <v>55</v>
      </c>
      <c r="H342">
        <v>1548</v>
      </c>
      <c r="I342">
        <v>22.6</v>
      </c>
      <c r="J342" t="s">
        <v>523</v>
      </c>
    </row>
    <row r="343" spans="1:10" x14ac:dyDescent="0.25">
      <c r="A343">
        <v>9</v>
      </c>
      <c r="B343" t="s">
        <v>540</v>
      </c>
      <c r="C343" t="s">
        <v>19</v>
      </c>
      <c r="D343">
        <v>7</v>
      </c>
      <c r="E343" t="s">
        <v>528</v>
      </c>
      <c r="F343" t="s">
        <v>28</v>
      </c>
      <c r="G343">
        <v>22</v>
      </c>
      <c r="H343">
        <v>1053</v>
      </c>
      <c r="I343">
        <v>13.3</v>
      </c>
      <c r="J343" t="s">
        <v>523</v>
      </c>
    </row>
    <row r="344" spans="1:10" x14ac:dyDescent="0.25">
      <c r="A344">
        <v>9</v>
      </c>
      <c r="B344" t="s">
        <v>540</v>
      </c>
      <c r="C344" t="s">
        <v>19</v>
      </c>
      <c r="D344">
        <v>8</v>
      </c>
      <c r="E344" t="s">
        <v>529</v>
      </c>
      <c r="F344" t="s">
        <v>14</v>
      </c>
      <c r="G344">
        <v>29</v>
      </c>
      <c r="H344">
        <v>2478</v>
      </c>
      <c r="I344">
        <v>7.5</v>
      </c>
      <c r="J344" t="s">
        <v>523</v>
      </c>
    </row>
    <row r="345" spans="1:10" x14ac:dyDescent="0.25">
      <c r="A345">
        <v>9</v>
      </c>
      <c r="B345" t="s">
        <v>540</v>
      </c>
      <c r="C345" t="s">
        <v>19</v>
      </c>
      <c r="D345">
        <v>9</v>
      </c>
      <c r="E345" t="s">
        <v>468</v>
      </c>
      <c r="F345" t="s">
        <v>23</v>
      </c>
      <c r="G345">
        <v>50</v>
      </c>
      <c r="H345">
        <v>1503</v>
      </c>
      <c r="I345">
        <v>21.2</v>
      </c>
      <c r="J345" t="s">
        <v>523</v>
      </c>
    </row>
    <row r="346" spans="1:10" x14ac:dyDescent="0.25">
      <c r="A346">
        <v>9</v>
      </c>
      <c r="B346" t="s">
        <v>540</v>
      </c>
      <c r="C346" t="s">
        <v>19</v>
      </c>
      <c r="D346">
        <v>14</v>
      </c>
      <c r="E346" t="s">
        <v>482</v>
      </c>
      <c r="F346" t="s">
        <v>14</v>
      </c>
      <c r="G346">
        <v>11</v>
      </c>
      <c r="H346">
        <v>601</v>
      </c>
      <c r="I346">
        <v>11.7</v>
      </c>
      <c r="J346" t="s">
        <v>523</v>
      </c>
    </row>
    <row r="347" spans="1:10" x14ac:dyDescent="0.25">
      <c r="A347">
        <v>9</v>
      </c>
      <c r="B347" t="s">
        <v>540</v>
      </c>
      <c r="C347" t="s">
        <v>19</v>
      </c>
      <c r="D347">
        <v>15</v>
      </c>
      <c r="E347" t="s">
        <v>471</v>
      </c>
      <c r="F347" t="s">
        <v>23</v>
      </c>
      <c r="G347">
        <v>9</v>
      </c>
      <c r="H347">
        <v>554</v>
      </c>
      <c r="I347">
        <v>10.3</v>
      </c>
      <c r="J347" t="s">
        <v>523</v>
      </c>
    </row>
    <row r="348" spans="1:10" x14ac:dyDescent="0.25">
      <c r="A348">
        <v>9</v>
      </c>
      <c r="B348" t="s">
        <v>540</v>
      </c>
      <c r="C348" t="s">
        <v>19</v>
      </c>
      <c r="D348">
        <v>16</v>
      </c>
      <c r="E348" t="s">
        <v>513</v>
      </c>
      <c r="F348" t="s">
        <v>14</v>
      </c>
      <c r="G348">
        <v>5</v>
      </c>
      <c r="H348">
        <v>630</v>
      </c>
      <c r="I348">
        <v>5.0999999999999996</v>
      </c>
      <c r="J348" t="s">
        <v>523</v>
      </c>
    </row>
    <row r="349" spans="1:10" x14ac:dyDescent="0.25">
      <c r="A349">
        <v>9</v>
      </c>
      <c r="B349" t="s">
        <v>540</v>
      </c>
      <c r="C349" t="s">
        <v>19</v>
      </c>
      <c r="D349">
        <v>17</v>
      </c>
      <c r="E349" t="s">
        <v>531</v>
      </c>
      <c r="F349" t="s">
        <v>25</v>
      </c>
      <c r="G349">
        <v>8</v>
      </c>
      <c r="H349">
        <v>623</v>
      </c>
      <c r="I349">
        <v>8.1999999999999993</v>
      </c>
      <c r="J349" t="s">
        <v>523</v>
      </c>
    </row>
    <row r="350" spans="1:10" x14ac:dyDescent="0.25">
      <c r="A350">
        <v>9</v>
      </c>
      <c r="B350" t="s">
        <v>540</v>
      </c>
      <c r="C350" t="s">
        <v>19</v>
      </c>
      <c r="D350">
        <v>18</v>
      </c>
      <c r="E350" t="s">
        <v>532</v>
      </c>
      <c r="F350" t="s">
        <v>23</v>
      </c>
      <c r="G350">
        <v>8</v>
      </c>
      <c r="H350">
        <v>1983</v>
      </c>
      <c r="I350">
        <v>2.6</v>
      </c>
      <c r="J350" t="s">
        <v>523</v>
      </c>
    </row>
    <row r="351" spans="1:10" x14ac:dyDescent="0.25">
      <c r="A351">
        <v>9</v>
      </c>
      <c r="B351" t="s">
        <v>540</v>
      </c>
      <c r="C351" t="s">
        <v>19</v>
      </c>
      <c r="D351">
        <v>19</v>
      </c>
      <c r="E351" t="s">
        <v>522</v>
      </c>
      <c r="F351" t="s">
        <v>25</v>
      </c>
      <c r="G351">
        <v>54</v>
      </c>
      <c r="H351">
        <v>1631</v>
      </c>
      <c r="I351">
        <v>21.1</v>
      </c>
      <c r="J351" t="s">
        <v>523</v>
      </c>
    </row>
    <row r="352" spans="1:10" x14ac:dyDescent="0.25">
      <c r="A352">
        <v>9</v>
      </c>
      <c r="B352" t="s">
        <v>540</v>
      </c>
      <c r="C352" t="s">
        <v>19</v>
      </c>
      <c r="D352">
        <v>11</v>
      </c>
      <c r="E352" t="s">
        <v>469</v>
      </c>
      <c r="F352" t="s">
        <v>25</v>
      </c>
      <c r="G352">
        <v>1</v>
      </c>
      <c r="H352">
        <v>244</v>
      </c>
      <c r="I352">
        <v>2.6</v>
      </c>
      <c r="J352" t="s">
        <v>523</v>
      </c>
    </row>
    <row r="353" spans="1:10" x14ac:dyDescent="0.25">
      <c r="A353">
        <v>9</v>
      </c>
      <c r="B353" t="s">
        <v>540</v>
      </c>
      <c r="C353" t="s">
        <v>19</v>
      </c>
      <c r="D353">
        <v>12</v>
      </c>
      <c r="E353" t="s">
        <v>475</v>
      </c>
      <c r="F353" t="s">
        <v>28</v>
      </c>
      <c r="G353">
        <v>6</v>
      </c>
      <c r="H353">
        <v>128</v>
      </c>
      <c r="I353">
        <v>29.9</v>
      </c>
      <c r="J353" t="s">
        <v>523</v>
      </c>
    </row>
    <row r="354" spans="1:10" x14ac:dyDescent="0.25">
      <c r="A354">
        <v>9</v>
      </c>
      <c r="B354" t="s">
        <v>540</v>
      </c>
      <c r="C354" t="s">
        <v>19</v>
      </c>
      <c r="D354">
        <v>21</v>
      </c>
      <c r="E354" t="s">
        <v>476</v>
      </c>
      <c r="F354" t="s">
        <v>28</v>
      </c>
      <c r="G354">
        <v>12</v>
      </c>
      <c r="H354">
        <v>1038</v>
      </c>
      <c r="I354">
        <v>7.4</v>
      </c>
      <c r="J354" t="s">
        <v>523</v>
      </c>
    </row>
    <row r="355" spans="1:10" x14ac:dyDescent="0.25">
      <c r="A355">
        <v>9</v>
      </c>
      <c r="B355" t="s">
        <v>540</v>
      </c>
      <c r="C355" t="s">
        <v>19</v>
      </c>
      <c r="D355">
        <v>24</v>
      </c>
      <c r="E355" t="s">
        <v>524</v>
      </c>
      <c r="F355" t="s">
        <v>28</v>
      </c>
      <c r="G355">
        <v>16</v>
      </c>
      <c r="H355">
        <v>968</v>
      </c>
      <c r="I355">
        <v>10.5</v>
      </c>
      <c r="J355" t="s">
        <v>523</v>
      </c>
    </row>
    <row r="356" spans="1:10" x14ac:dyDescent="0.25">
      <c r="A356">
        <v>9</v>
      </c>
      <c r="B356" t="s">
        <v>540</v>
      </c>
      <c r="C356" t="s">
        <v>19</v>
      </c>
      <c r="D356">
        <v>25</v>
      </c>
      <c r="E356" t="s">
        <v>525</v>
      </c>
      <c r="F356" t="s">
        <v>25</v>
      </c>
      <c r="G356">
        <v>4</v>
      </c>
      <c r="H356">
        <v>3119</v>
      </c>
      <c r="I356">
        <v>0.8</v>
      </c>
      <c r="J356" t="s">
        <v>523</v>
      </c>
    </row>
    <row r="357" spans="1:10" x14ac:dyDescent="0.25">
      <c r="A357">
        <v>9</v>
      </c>
      <c r="B357" t="s">
        <v>540</v>
      </c>
      <c r="C357" t="s">
        <v>19</v>
      </c>
      <c r="D357">
        <v>27</v>
      </c>
      <c r="E357" t="s">
        <v>526</v>
      </c>
      <c r="F357" t="s">
        <v>25</v>
      </c>
      <c r="G357">
        <v>29</v>
      </c>
      <c r="H357">
        <v>947</v>
      </c>
      <c r="I357">
        <v>19.5</v>
      </c>
      <c r="J357" t="s">
        <v>523</v>
      </c>
    </row>
    <row r="358" spans="1:10" x14ac:dyDescent="0.25">
      <c r="A358">
        <v>9</v>
      </c>
      <c r="B358" t="s">
        <v>540</v>
      </c>
      <c r="C358" t="s">
        <v>19</v>
      </c>
      <c r="D358">
        <v>30</v>
      </c>
      <c r="E358" t="s">
        <v>530</v>
      </c>
      <c r="F358" t="s">
        <v>14</v>
      </c>
      <c r="G358">
        <v>11</v>
      </c>
      <c r="H358">
        <v>1766</v>
      </c>
      <c r="I358">
        <v>4</v>
      </c>
      <c r="J358" t="s">
        <v>523</v>
      </c>
    </row>
    <row r="359" spans="1:10" x14ac:dyDescent="0.25">
      <c r="A359">
        <v>9</v>
      </c>
      <c r="B359" t="s">
        <v>540</v>
      </c>
      <c r="C359" t="s">
        <v>19</v>
      </c>
      <c r="D359">
        <v>31</v>
      </c>
      <c r="E359" t="s">
        <v>496</v>
      </c>
      <c r="F359" t="s">
        <v>28</v>
      </c>
      <c r="G359">
        <v>6</v>
      </c>
      <c r="H359">
        <v>2298</v>
      </c>
      <c r="I359">
        <v>1.7</v>
      </c>
      <c r="J359" t="s">
        <v>523</v>
      </c>
    </row>
    <row r="360" spans="1:10" x14ac:dyDescent="0.25">
      <c r="A360">
        <v>9</v>
      </c>
      <c r="B360" t="s">
        <v>540</v>
      </c>
      <c r="C360" t="s">
        <v>19</v>
      </c>
      <c r="D360">
        <v>32</v>
      </c>
      <c r="E360" t="s">
        <v>507</v>
      </c>
      <c r="F360" t="s">
        <v>28</v>
      </c>
      <c r="G360">
        <v>3</v>
      </c>
      <c r="H360">
        <v>166</v>
      </c>
      <c r="I360">
        <v>11.5</v>
      </c>
      <c r="J360" t="s">
        <v>523</v>
      </c>
    </row>
    <row r="361" spans="1:10" x14ac:dyDescent="0.25">
      <c r="A361">
        <v>9</v>
      </c>
      <c r="B361" t="s">
        <v>540</v>
      </c>
      <c r="C361" t="s">
        <v>19</v>
      </c>
      <c r="D361">
        <v>33</v>
      </c>
      <c r="E361" t="s">
        <v>490</v>
      </c>
      <c r="F361" t="s">
        <v>23</v>
      </c>
      <c r="G361">
        <v>9</v>
      </c>
      <c r="H361">
        <v>249</v>
      </c>
      <c r="I361">
        <v>23</v>
      </c>
      <c r="J361" t="s">
        <v>523</v>
      </c>
    </row>
    <row r="362" spans="1:10" x14ac:dyDescent="0.25">
      <c r="A362">
        <v>9</v>
      </c>
      <c r="B362" t="s">
        <v>540</v>
      </c>
      <c r="C362" t="s">
        <v>19</v>
      </c>
      <c r="D362">
        <v>34</v>
      </c>
      <c r="E362" t="s">
        <v>467</v>
      </c>
      <c r="F362" t="s">
        <v>17</v>
      </c>
      <c r="G362">
        <v>5</v>
      </c>
      <c r="H362">
        <v>557</v>
      </c>
      <c r="I362">
        <v>5.7</v>
      </c>
      <c r="J362" t="s">
        <v>523</v>
      </c>
    </row>
    <row r="363" spans="1:10" x14ac:dyDescent="0.25">
      <c r="A363">
        <v>9</v>
      </c>
      <c r="B363" t="s">
        <v>540</v>
      </c>
      <c r="C363" t="s">
        <v>19</v>
      </c>
      <c r="D363">
        <v>35</v>
      </c>
      <c r="E363" t="s">
        <v>539</v>
      </c>
      <c r="F363" t="s">
        <v>14</v>
      </c>
      <c r="G363">
        <v>4</v>
      </c>
      <c r="H363">
        <v>92</v>
      </c>
      <c r="I363">
        <v>27.7</v>
      </c>
      <c r="J363" t="s">
        <v>523</v>
      </c>
    </row>
    <row r="364" spans="1:10" x14ac:dyDescent="0.25">
      <c r="A364">
        <v>10</v>
      </c>
      <c r="B364" t="s">
        <v>541</v>
      </c>
      <c r="C364" t="s">
        <v>19</v>
      </c>
      <c r="D364">
        <v>1</v>
      </c>
      <c r="E364" t="s">
        <v>466</v>
      </c>
      <c r="F364" t="s">
        <v>23</v>
      </c>
      <c r="G364">
        <v>5</v>
      </c>
      <c r="H364">
        <v>1529</v>
      </c>
      <c r="I364">
        <v>2.1</v>
      </c>
      <c r="J364" t="s">
        <v>523</v>
      </c>
    </row>
    <row r="365" spans="1:10" x14ac:dyDescent="0.25">
      <c r="A365">
        <v>10</v>
      </c>
      <c r="B365" t="s">
        <v>541</v>
      </c>
      <c r="C365" t="s">
        <v>19</v>
      </c>
      <c r="D365">
        <v>5</v>
      </c>
      <c r="E365" t="s">
        <v>464</v>
      </c>
      <c r="F365" t="s">
        <v>14</v>
      </c>
      <c r="G365">
        <v>4</v>
      </c>
      <c r="H365">
        <v>246</v>
      </c>
      <c r="I365">
        <v>10.4</v>
      </c>
      <c r="J365" t="s">
        <v>523</v>
      </c>
    </row>
    <row r="366" spans="1:10" x14ac:dyDescent="0.25">
      <c r="A366">
        <v>10</v>
      </c>
      <c r="B366" t="s">
        <v>541</v>
      </c>
      <c r="C366" t="s">
        <v>19</v>
      </c>
      <c r="D366">
        <v>6</v>
      </c>
      <c r="E366" t="s">
        <v>527</v>
      </c>
      <c r="F366" t="s">
        <v>17</v>
      </c>
      <c r="G366">
        <v>24</v>
      </c>
      <c r="H366">
        <v>1159</v>
      </c>
      <c r="I366">
        <v>13.2</v>
      </c>
      <c r="J366" t="s">
        <v>523</v>
      </c>
    </row>
    <row r="367" spans="1:10" x14ac:dyDescent="0.25">
      <c r="A367">
        <v>10</v>
      </c>
      <c r="B367" t="s">
        <v>541</v>
      </c>
      <c r="C367" t="s">
        <v>19</v>
      </c>
      <c r="D367">
        <v>7</v>
      </c>
      <c r="E367" t="s">
        <v>528</v>
      </c>
      <c r="F367" t="s">
        <v>28</v>
      </c>
      <c r="G367">
        <v>13</v>
      </c>
      <c r="H367">
        <v>416</v>
      </c>
      <c r="I367">
        <v>19.899999999999999</v>
      </c>
      <c r="J367" t="s">
        <v>523</v>
      </c>
    </row>
    <row r="368" spans="1:10" x14ac:dyDescent="0.25">
      <c r="A368">
        <v>10</v>
      </c>
      <c r="B368" t="s">
        <v>541</v>
      </c>
      <c r="C368" t="s">
        <v>19</v>
      </c>
      <c r="D368">
        <v>8</v>
      </c>
      <c r="E368" t="s">
        <v>529</v>
      </c>
      <c r="F368" t="s">
        <v>14</v>
      </c>
      <c r="G368">
        <v>73</v>
      </c>
      <c r="H368">
        <v>2127</v>
      </c>
      <c r="I368">
        <v>21.9</v>
      </c>
      <c r="J368" t="s">
        <v>523</v>
      </c>
    </row>
    <row r="369" spans="1:10" x14ac:dyDescent="0.25">
      <c r="A369">
        <v>10</v>
      </c>
      <c r="B369" t="s">
        <v>541</v>
      </c>
      <c r="C369" t="s">
        <v>19</v>
      </c>
      <c r="D369">
        <v>9</v>
      </c>
      <c r="E369" t="s">
        <v>468</v>
      </c>
      <c r="F369" t="s">
        <v>23</v>
      </c>
      <c r="G369">
        <v>10</v>
      </c>
      <c r="H369">
        <v>793</v>
      </c>
      <c r="I369">
        <v>8</v>
      </c>
      <c r="J369" t="s">
        <v>523</v>
      </c>
    </row>
    <row r="370" spans="1:10" x14ac:dyDescent="0.25">
      <c r="A370">
        <v>10</v>
      </c>
      <c r="B370" t="s">
        <v>541</v>
      </c>
      <c r="C370" t="s">
        <v>19</v>
      </c>
      <c r="D370">
        <v>3</v>
      </c>
      <c r="E370" t="s">
        <v>493</v>
      </c>
      <c r="F370" t="s">
        <v>25</v>
      </c>
      <c r="G370">
        <v>15</v>
      </c>
      <c r="H370">
        <v>2183</v>
      </c>
      <c r="I370">
        <v>4.4000000000000004</v>
      </c>
      <c r="J370" t="s">
        <v>523</v>
      </c>
    </row>
    <row r="371" spans="1:10" x14ac:dyDescent="0.25">
      <c r="A371">
        <v>10</v>
      </c>
      <c r="B371" t="s">
        <v>541</v>
      </c>
      <c r="C371" t="s">
        <v>19</v>
      </c>
      <c r="D371">
        <v>11</v>
      </c>
      <c r="E371" t="s">
        <v>469</v>
      </c>
      <c r="F371" t="s">
        <v>25</v>
      </c>
      <c r="G371">
        <v>9</v>
      </c>
      <c r="H371">
        <v>218</v>
      </c>
      <c r="I371">
        <v>26.3</v>
      </c>
      <c r="J371" t="s">
        <v>523</v>
      </c>
    </row>
    <row r="372" spans="1:10" x14ac:dyDescent="0.25">
      <c r="A372">
        <v>10</v>
      </c>
      <c r="B372" t="s">
        <v>541</v>
      </c>
      <c r="C372" t="s">
        <v>19</v>
      </c>
      <c r="D372">
        <v>14</v>
      </c>
      <c r="E372" t="s">
        <v>482</v>
      </c>
      <c r="F372" t="s">
        <v>14</v>
      </c>
      <c r="G372">
        <v>4</v>
      </c>
      <c r="H372">
        <v>519</v>
      </c>
      <c r="I372">
        <v>4.9000000000000004</v>
      </c>
      <c r="J372" t="s">
        <v>523</v>
      </c>
    </row>
    <row r="373" spans="1:10" x14ac:dyDescent="0.25">
      <c r="A373">
        <v>10</v>
      </c>
      <c r="B373" t="s">
        <v>541</v>
      </c>
      <c r="C373" t="s">
        <v>19</v>
      </c>
      <c r="D373">
        <v>15</v>
      </c>
      <c r="E373" t="s">
        <v>471</v>
      </c>
      <c r="F373" t="s">
        <v>23</v>
      </c>
      <c r="G373">
        <v>13</v>
      </c>
      <c r="H373">
        <v>443</v>
      </c>
      <c r="I373">
        <v>18.7</v>
      </c>
      <c r="J373" t="s">
        <v>523</v>
      </c>
    </row>
    <row r="374" spans="1:10" x14ac:dyDescent="0.25">
      <c r="A374">
        <v>10</v>
      </c>
      <c r="B374" t="s">
        <v>541</v>
      </c>
      <c r="C374" t="s">
        <v>19</v>
      </c>
      <c r="D374">
        <v>16</v>
      </c>
      <c r="E374" t="s">
        <v>513</v>
      </c>
      <c r="F374" t="s">
        <v>14</v>
      </c>
      <c r="G374">
        <v>1</v>
      </c>
      <c r="H374">
        <v>355</v>
      </c>
      <c r="I374">
        <v>1.8</v>
      </c>
      <c r="J374" t="s">
        <v>523</v>
      </c>
    </row>
    <row r="375" spans="1:10" x14ac:dyDescent="0.25">
      <c r="A375">
        <v>10</v>
      </c>
      <c r="B375" t="s">
        <v>541</v>
      </c>
      <c r="C375" t="s">
        <v>19</v>
      </c>
      <c r="D375">
        <v>17</v>
      </c>
      <c r="E375" t="s">
        <v>531</v>
      </c>
      <c r="F375" t="s">
        <v>25</v>
      </c>
      <c r="G375">
        <v>3</v>
      </c>
      <c r="H375">
        <v>285</v>
      </c>
      <c r="I375">
        <v>6.7</v>
      </c>
      <c r="J375" t="s">
        <v>523</v>
      </c>
    </row>
    <row r="376" spans="1:10" x14ac:dyDescent="0.25">
      <c r="A376">
        <v>10</v>
      </c>
      <c r="B376" t="s">
        <v>541</v>
      </c>
      <c r="C376" t="s">
        <v>19</v>
      </c>
      <c r="D376">
        <v>18</v>
      </c>
      <c r="E376" t="s">
        <v>532</v>
      </c>
      <c r="F376" t="s">
        <v>23</v>
      </c>
      <c r="G376">
        <v>17</v>
      </c>
      <c r="H376">
        <v>796</v>
      </c>
      <c r="I376">
        <v>13.6</v>
      </c>
      <c r="J376" t="s">
        <v>523</v>
      </c>
    </row>
    <row r="377" spans="1:10" x14ac:dyDescent="0.25">
      <c r="A377">
        <v>10</v>
      </c>
      <c r="B377" t="s">
        <v>541</v>
      </c>
      <c r="C377" t="s">
        <v>19</v>
      </c>
      <c r="D377">
        <v>19</v>
      </c>
      <c r="E377" t="s">
        <v>522</v>
      </c>
      <c r="F377" t="s">
        <v>25</v>
      </c>
      <c r="G377">
        <v>57</v>
      </c>
      <c r="H377">
        <v>1394</v>
      </c>
      <c r="I377">
        <v>26</v>
      </c>
      <c r="J377" t="s">
        <v>523</v>
      </c>
    </row>
    <row r="378" spans="1:10" x14ac:dyDescent="0.25">
      <c r="A378">
        <v>10</v>
      </c>
      <c r="B378" t="s">
        <v>541</v>
      </c>
      <c r="C378" t="s">
        <v>19</v>
      </c>
      <c r="D378">
        <v>20</v>
      </c>
      <c r="E378" t="s">
        <v>533</v>
      </c>
      <c r="F378" t="s">
        <v>28</v>
      </c>
      <c r="G378">
        <v>4</v>
      </c>
      <c r="H378">
        <v>240</v>
      </c>
      <c r="I378">
        <v>10.6</v>
      </c>
      <c r="J378" t="s">
        <v>523</v>
      </c>
    </row>
    <row r="379" spans="1:10" x14ac:dyDescent="0.25">
      <c r="A379">
        <v>10</v>
      </c>
      <c r="B379" t="s">
        <v>541</v>
      </c>
      <c r="C379" t="s">
        <v>19</v>
      </c>
      <c r="D379">
        <v>21</v>
      </c>
      <c r="E379" t="s">
        <v>476</v>
      </c>
      <c r="F379" t="s">
        <v>28</v>
      </c>
      <c r="G379">
        <v>16</v>
      </c>
      <c r="H379">
        <v>4244</v>
      </c>
      <c r="I379">
        <v>2.4</v>
      </c>
      <c r="J379" t="s">
        <v>523</v>
      </c>
    </row>
    <row r="380" spans="1:10" x14ac:dyDescent="0.25">
      <c r="A380">
        <v>10</v>
      </c>
      <c r="B380" t="s">
        <v>541</v>
      </c>
      <c r="C380" t="s">
        <v>19</v>
      </c>
      <c r="D380">
        <v>22</v>
      </c>
      <c r="E380" t="s">
        <v>536</v>
      </c>
      <c r="F380" t="s">
        <v>14</v>
      </c>
      <c r="G380">
        <v>13</v>
      </c>
      <c r="H380">
        <v>491</v>
      </c>
      <c r="I380">
        <v>16.899999999999999</v>
      </c>
      <c r="J380" t="s">
        <v>523</v>
      </c>
    </row>
    <row r="381" spans="1:10" x14ac:dyDescent="0.25">
      <c r="A381">
        <v>10</v>
      </c>
      <c r="B381" t="s">
        <v>541</v>
      </c>
      <c r="C381" t="s">
        <v>19</v>
      </c>
      <c r="D381">
        <v>23</v>
      </c>
      <c r="E381" t="s">
        <v>506</v>
      </c>
      <c r="F381" t="s">
        <v>23</v>
      </c>
      <c r="G381">
        <v>9</v>
      </c>
      <c r="H381">
        <v>269</v>
      </c>
      <c r="I381">
        <v>21.3</v>
      </c>
      <c r="J381" t="s">
        <v>523</v>
      </c>
    </row>
    <row r="382" spans="1:10" x14ac:dyDescent="0.25">
      <c r="A382">
        <v>10</v>
      </c>
      <c r="B382" t="s">
        <v>541</v>
      </c>
      <c r="C382" t="s">
        <v>19</v>
      </c>
      <c r="D382">
        <v>24</v>
      </c>
      <c r="E382" t="s">
        <v>524</v>
      </c>
      <c r="F382" t="s">
        <v>28</v>
      </c>
      <c r="G382">
        <v>20</v>
      </c>
      <c r="H382">
        <v>636</v>
      </c>
      <c r="I382">
        <v>20</v>
      </c>
      <c r="J382" t="s">
        <v>523</v>
      </c>
    </row>
    <row r="383" spans="1:10" x14ac:dyDescent="0.25">
      <c r="A383">
        <v>10</v>
      </c>
      <c r="B383" t="s">
        <v>541</v>
      </c>
      <c r="C383" t="s">
        <v>19</v>
      </c>
      <c r="D383">
        <v>25</v>
      </c>
      <c r="E383" t="s">
        <v>525</v>
      </c>
      <c r="F383" t="s">
        <v>25</v>
      </c>
      <c r="G383">
        <v>68</v>
      </c>
      <c r="H383">
        <v>1241</v>
      </c>
      <c r="I383">
        <v>34.9</v>
      </c>
      <c r="J383" t="s">
        <v>523</v>
      </c>
    </row>
    <row r="384" spans="1:10" x14ac:dyDescent="0.25">
      <c r="A384">
        <v>10</v>
      </c>
      <c r="B384" t="s">
        <v>541</v>
      </c>
      <c r="C384" t="s">
        <v>19</v>
      </c>
      <c r="D384">
        <v>26</v>
      </c>
      <c r="E384" t="s">
        <v>519</v>
      </c>
      <c r="F384" t="s">
        <v>25</v>
      </c>
      <c r="G384">
        <v>9</v>
      </c>
      <c r="H384">
        <v>221</v>
      </c>
      <c r="I384">
        <v>25.9</v>
      </c>
      <c r="J384" t="s">
        <v>523</v>
      </c>
    </row>
    <row r="385" spans="1:10" x14ac:dyDescent="0.25">
      <c r="A385">
        <v>10</v>
      </c>
      <c r="B385" t="s">
        <v>541</v>
      </c>
      <c r="C385" t="s">
        <v>19</v>
      </c>
      <c r="D385">
        <v>30</v>
      </c>
      <c r="E385" t="s">
        <v>530</v>
      </c>
      <c r="F385" t="s">
        <v>14</v>
      </c>
      <c r="G385">
        <v>42</v>
      </c>
      <c r="H385">
        <v>1156</v>
      </c>
      <c r="I385">
        <v>23.1</v>
      </c>
      <c r="J385" t="s">
        <v>523</v>
      </c>
    </row>
    <row r="386" spans="1:10" x14ac:dyDescent="0.25">
      <c r="A386">
        <v>10</v>
      </c>
      <c r="B386" t="s">
        <v>541</v>
      </c>
      <c r="C386" t="s">
        <v>19</v>
      </c>
      <c r="D386">
        <v>31</v>
      </c>
      <c r="E386" t="s">
        <v>496</v>
      </c>
      <c r="F386" t="s">
        <v>28</v>
      </c>
      <c r="G386">
        <v>7</v>
      </c>
      <c r="H386">
        <v>953</v>
      </c>
      <c r="I386">
        <v>4.7</v>
      </c>
      <c r="J386" t="s">
        <v>523</v>
      </c>
    </row>
    <row r="387" spans="1:10" x14ac:dyDescent="0.25">
      <c r="A387">
        <v>10</v>
      </c>
      <c r="B387" t="s">
        <v>541</v>
      </c>
      <c r="C387" t="s">
        <v>19</v>
      </c>
      <c r="D387">
        <v>35</v>
      </c>
      <c r="E387" t="s">
        <v>539</v>
      </c>
      <c r="F387" t="s">
        <v>14</v>
      </c>
      <c r="G387">
        <v>2</v>
      </c>
      <c r="H387">
        <v>158</v>
      </c>
      <c r="I387">
        <v>8.1</v>
      </c>
      <c r="J387" t="s">
        <v>523</v>
      </c>
    </row>
    <row r="388" spans="1:10" x14ac:dyDescent="0.25">
      <c r="A388">
        <v>11</v>
      </c>
      <c r="B388" t="s">
        <v>483</v>
      </c>
      <c r="C388" t="s">
        <v>19</v>
      </c>
      <c r="D388">
        <v>1</v>
      </c>
      <c r="E388" t="s">
        <v>466</v>
      </c>
      <c r="F388" t="s">
        <v>23</v>
      </c>
      <c r="G388">
        <v>19</v>
      </c>
      <c r="H388">
        <v>956</v>
      </c>
      <c r="I388">
        <v>12.7</v>
      </c>
      <c r="J388" t="s">
        <v>523</v>
      </c>
    </row>
    <row r="389" spans="1:10" x14ac:dyDescent="0.25">
      <c r="A389">
        <v>11</v>
      </c>
      <c r="B389" t="s">
        <v>483</v>
      </c>
      <c r="C389" t="s">
        <v>19</v>
      </c>
      <c r="D389">
        <v>2</v>
      </c>
      <c r="E389" t="s">
        <v>462</v>
      </c>
      <c r="F389" t="s">
        <v>23</v>
      </c>
      <c r="G389">
        <v>18</v>
      </c>
      <c r="H389">
        <v>765</v>
      </c>
      <c r="I389">
        <v>15</v>
      </c>
      <c r="J389" t="s">
        <v>523</v>
      </c>
    </row>
    <row r="390" spans="1:10" x14ac:dyDescent="0.25">
      <c r="A390">
        <v>11</v>
      </c>
      <c r="B390" t="s">
        <v>483</v>
      </c>
      <c r="C390" t="s">
        <v>19</v>
      </c>
      <c r="D390">
        <v>3</v>
      </c>
      <c r="E390" t="s">
        <v>493</v>
      </c>
      <c r="F390" t="s">
        <v>25</v>
      </c>
      <c r="G390">
        <v>18</v>
      </c>
      <c r="H390">
        <v>1818</v>
      </c>
      <c r="I390">
        <v>6.3</v>
      </c>
      <c r="J390" t="s">
        <v>523</v>
      </c>
    </row>
    <row r="391" spans="1:10" x14ac:dyDescent="0.25">
      <c r="A391">
        <v>11</v>
      </c>
      <c r="B391" t="s">
        <v>483</v>
      </c>
      <c r="C391" t="s">
        <v>19</v>
      </c>
      <c r="D391">
        <v>7</v>
      </c>
      <c r="E391" t="s">
        <v>528</v>
      </c>
      <c r="F391" t="s">
        <v>28</v>
      </c>
      <c r="G391">
        <v>19</v>
      </c>
      <c r="H391">
        <v>469</v>
      </c>
      <c r="I391">
        <v>25.8</v>
      </c>
      <c r="J391" t="s">
        <v>523</v>
      </c>
    </row>
    <row r="392" spans="1:10" x14ac:dyDescent="0.25">
      <c r="A392">
        <v>11</v>
      </c>
      <c r="B392" t="s">
        <v>483</v>
      </c>
      <c r="C392" t="s">
        <v>19</v>
      </c>
      <c r="D392">
        <v>9</v>
      </c>
      <c r="E392" t="s">
        <v>468</v>
      </c>
      <c r="F392" t="s">
        <v>23</v>
      </c>
      <c r="G392">
        <v>13</v>
      </c>
      <c r="H392">
        <v>836</v>
      </c>
      <c r="I392">
        <v>9.9</v>
      </c>
      <c r="J392" t="s">
        <v>523</v>
      </c>
    </row>
    <row r="393" spans="1:10" x14ac:dyDescent="0.25">
      <c r="A393">
        <v>11</v>
      </c>
      <c r="B393" t="s">
        <v>483</v>
      </c>
      <c r="C393" t="s">
        <v>19</v>
      </c>
      <c r="D393">
        <v>10</v>
      </c>
      <c r="E393" t="s">
        <v>534</v>
      </c>
      <c r="F393" t="s">
        <v>23</v>
      </c>
      <c r="G393">
        <v>17</v>
      </c>
      <c r="H393">
        <v>410</v>
      </c>
      <c r="I393">
        <v>26.4</v>
      </c>
      <c r="J393" t="s">
        <v>523</v>
      </c>
    </row>
    <row r="394" spans="1:10" x14ac:dyDescent="0.25">
      <c r="A394">
        <v>11</v>
      </c>
      <c r="B394" t="s">
        <v>483</v>
      </c>
      <c r="C394" t="s">
        <v>19</v>
      </c>
      <c r="D394">
        <v>11</v>
      </c>
      <c r="E394" t="s">
        <v>469</v>
      </c>
      <c r="F394" t="s">
        <v>25</v>
      </c>
      <c r="G394">
        <v>9</v>
      </c>
      <c r="H394">
        <v>204</v>
      </c>
      <c r="I394">
        <v>28.1</v>
      </c>
      <c r="J394" t="s">
        <v>523</v>
      </c>
    </row>
    <row r="395" spans="1:10" x14ac:dyDescent="0.25">
      <c r="A395">
        <v>5</v>
      </c>
      <c r="B395" t="s">
        <v>474</v>
      </c>
      <c r="C395" t="s">
        <v>19</v>
      </c>
      <c r="D395">
        <v>25</v>
      </c>
      <c r="E395" t="s">
        <v>525</v>
      </c>
      <c r="F395" t="s">
        <v>25</v>
      </c>
      <c r="G395">
        <v>9</v>
      </c>
      <c r="H395">
        <v>1215</v>
      </c>
      <c r="I395">
        <v>4.7</v>
      </c>
      <c r="J395" t="s">
        <v>523</v>
      </c>
    </row>
    <row r="396" spans="1:10" x14ac:dyDescent="0.25">
      <c r="A396">
        <v>5</v>
      </c>
      <c r="B396" t="s">
        <v>474</v>
      </c>
      <c r="C396" t="s">
        <v>19</v>
      </c>
      <c r="D396">
        <v>26</v>
      </c>
      <c r="E396" t="s">
        <v>519</v>
      </c>
      <c r="F396" t="s">
        <v>25</v>
      </c>
      <c r="G396">
        <v>4</v>
      </c>
      <c r="H396">
        <v>151</v>
      </c>
      <c r="I396">
        <v>16.899999999999999</v>
      </c>
      <c r="J396" t="s">
        <v>523</v>
      </c>
    </row>
    <row r="397" spans="1:10" x14ac:dyDescent="0.25">
      <c r="A397">
        <v>6</v>
      </c>
      <c r="B397" t="s">
        <v>478</v>
      </c>
      <c r="C397" t="s">
        <v>26</v>
      </c>
      <c r="D397">
        <v>5</v>
      </c>
      <c r="E397" t="s">
        <v>464</v>
      </c>
      <c r="F397" t="s">
        <v>14</v>
      </c>
      <c r="G397">
        <v>8</v>
      </c>
      <c r="H397">
        <v>185</v>
      </c>
      <c r="I397">
        <v>27.5</v>
      </c>
      <c r="J397" t="s">
        <v>523</v>
      </c>
    </row>
    <row r="398" spans="1:10" x14ac:dyDescent="0.25">
      <c r="A398">
        <v>6</v>
      </c>
      <c r="B398" t="s">
        <v>478</v>
      </c>
      <c r="C398" t="s">
        <v>26</v>
      </c>
      <c r="D398">
        <v>6</v>
      </c>
      <c r="E398" t="s">
        <v>527</v>
      </c>
      <c r="F398" t="s">
        <v>17</v>
      </c>
      <c r="G398">
        <v>32</v>
      </c>
      <c r="H398">
        <v>4914</v>
      </c>
      <c r="I398">
        <v>4.0999999999999996</v>
      </c>
      <c r="J398" t="s">
        <v>523</v>
      </c>
    </row>
    <row r="399" spans="1:10" x14ac:dyDescent="0.25">
      <c r="A399">
        <v>6</v>
      </c>
      <c r="B399" t="s">
        <v>478</v>
      </c>
      <c r="C399" t="s">
        <v>26</v>
      </c>
      <c r="D399">
        <v>7</v>
      </c>
      <c r="E399" t="s">
        <v>528</v>
      </c>
      <c r="F399" t="s">
        <v>28</v>
      </c>
      <c r="G399">
        <v>18</v>
      </c>
      <c r="H399">
        <v>572</v>
      </c>
      <c r="I399">
        <v>20</v>
      </c>
      <c r="J399" t="s">
        <v>523</v>
      </c>
    </row>
    <row r="400" spans="1:10" x14ac:dyDescent="0.25">
      <c r="A400">
        <v>6</v>
      </c>
      <c r="B400" t="s">
        <v>478</v>
      </c>
      <c r="C400" t="s">
        <v>26</v>
      </c>
      <c r="D400">
        <v>8</v>
      </c>
      <c r="E400" t="s">
        <v>529</v>
      </c>
      <c r="F400" t="s">
        <v>14</v>
      </c>
      <c r="G400">
        <v>50</v>
      </c>
      <c r="H400">
        <v>2748</v>
      </c>
      <c r="I400">
        <v>11.6</v>
      </c>
      <c r="J400" t="s">
        <v>523</v>
      </c>
    </row>
    <row r="401" spans="1:10" x14ac:dyDescent="0.25">
      <c r="A401">
        <v>6</v>
      </c>
      <c r="B401" t="s">
        <v>478</v>
      </c>
      <c r="C401" t="s">
        <v>26</v>
      </c>
      <c r="D401">
        <v>9</v>
      </c>
      <c r="E401" t="s">
        <v>468</v>
      </c>
      <c r="F401" t="s">
        <v>23</v>
      </c>
      <c r="G401">
        <v>3</v>
      </c>
      <c r="H401">
        <v>487</v>
      </c>
      <c r="I401">
        <v>3.9</v>
      </c>
      <c r="J401" t="s">
        <v>523</v>
      </c>
    </row>
    <row r="402" spans="1:10" x14ac:dyDescent="0.25">
      <c r="A402">
        <v>6</v>
      </c>
      <c r="B402" t="s">
        <v>478</v>
      </c>
      <c r="C402" t="s">
        <v>26</v>
      </c>
      <c r="D402">
        <v>12</v>
      </c>
      <c r="E402" t="s">
        <v>475</v>
      </c>
      <c r="F402" t="s">
        <v>28</v>
      </c>
      <c r="G402">
        <v>2</v>
      </c>
      <c r="H402">
        <v>79</v>
      </c>
      <c r="I402">
        <v>16.100000000000001</v>
      </c>
      <c r="J402" t="s">
        <v>523</v>
      </c>
    </row>
    <row r="403" spans="1:10" x14ac:dyDescent="0.25">
      <c r="A403">
        <v>6</v>
      </c>
      <c r="B403" t="s">
        <v>478</v>
      </c>
      <c r="C403" t="s">
        <v>26</v>
      </c>
      <c r="D403">
        <v>13</v>
      </c>
      <c r="E403" t="s">
        <v>481</v>
      </c>
      <c r="F403" t="s">
        <v>17</v>
      </c>
      <c r="G403">
        <v>2</v>
      </c>
      <c r="H403">
        <v>1257</v>
      </c>
      <c r="I403">
        <v>1</v>
      </c>
      <c r="J403" t="s">
        <v>523</v>
      </c>
    </row>
    <row r="404" spans="1:10" x14ac:dyDescent="0.25">
      <c r="A404">
        <v>6</v>
      </c>
      <c r="B404" t="s">
        <v>478</v>
      </c>
      <c r="C404" t="s">
        <v>26</v>
      </c>
      <c r="D404">
        <v>14</v>
      </c>
      <c r="E404" t="s">
        <v>482</v>
      </c>
      <c r="F404" t="s">
        <v>14</v>
      </c>
      <c r="G404">
        <v>11</v>
      </c>
      <c r="H404">
        <v>573</v>
      </c>
      <c r="I404">
        <v>12.2</v>
      </c>
      <c r="J404" t="s">
        <v>523</v>
      </c>
    </row>
    <row r="405" spans="1:10" x14ac:dyDescent="0.25">
      <c r="A405">
        <v>6</v>
      </c>
      <c r="B405" t="s">
        <v>478</v>
      </c>
      <c r="C405" t="s">
        <v>26</v>
      </c>
      <c r="D405">
        <v>15</v>
      </c>
      <c r="E405" t="s">
        <v>471</v>
      </c>
      <c r="F405" t="s">
        <v>23</v>
      </c>
      <c r="G405">
        <v>11</v>
      </c>
      <c r="H405">
        <v>278</v>
      </c>
      <c r="I405">
        <v>25.2</v>
      </c>
      <c r="J405" t="s">
        <v>523</v>
      </c>
    </row>
    <row r="406" spans="1:10" x14ac:dyDescent="0.25">
      <c r="A406">
        <v>6</v>
      </c>
      <c r="B406" t="s">
        <v>478</v>
      </c>
      <c r="C406" t="s">
        <v>26</v>
      </c>
      <c r="D406">
        <v>3</v>
      </c>
      <c r="E406" t="s">
        <v>493</v>
      </c>
      <c r="F406" t="s">
        <v>25</v>
      </c>
      <c r="G406">
        <v>20</v>
      </c>
      <c r="H406">
        <v>1505</v>
      </c>
      <c r="I406">
        <v>8.5</v>
      </c>
      <c r="J406" t="s">
        <v>523</v>
      </c>
    </row>
    <row r="407" spans="1:10" x14ac:dyDescent="0.25">
      <c r="A407">
        <v>1</v>
      </c>
      <c r="B407" t="s">
        <v>461</v>
      </c>
      <c r="C407" t="s">
        <v>21</v>
      </c>
      <c r="D407">
        <v>1</v>
      </c>
      <c r="E407" t="s">
        <v>466</v>
      </c>
      <c r="F407" t="s">
        <v>23</v>
      </c>
      <c r="G407">
        <v>27</v>
      </c>
      <c r="H407">
        <v>1262</v>
      </c>
      <c r="I407">
        <v>13.6</v>
      </c>
      <c r="J407" t="s">
        <v>523</v>
      </c>
    </row>
    <row r="408" spans="1:10" x14ac:dyDescent="0.25">
      <c r="A408">
        <v>5</v>
      </c>
      <c r="B408" t="s">
        <v>474</v>
      </c>
      <c r="C408" t="s">
        <v>19</v>
      </c>
      <c r="D408">
        <v>23</v>
      </c>
      <c r="E408" t="s">
        <v>506</v>
      </c>
      <c r="F408" t="s">
        <v>23</v>
      </c>
      <c r="G408">
        <v>11</v>
      </c>
      <c r="H408">
        <v>233</v>
      </c>
      <c r="I408">
        <v>30.1</v>
      </c>
      <c r="J408" t="s">
        <v>523</v>
      </c>
    </row>
    <row r="409" spans="1:10" x14ac:dyDescent="0.25">
      <c r="A409">
        <v>5</v>
      </c>
      <c r="B409" t="s">
        <v>474</v>
      </c>
      <c r="C409" t="s">
        <v>19</v>
      </c>
      <c r="D409">
        <v>8</v>
      </c>
      <c r="E409" t="s">
        <v>529</v>
      </c>
      <c r="F409" t="s">
        <v>14</v>
      </c>
      <c r="G409">
        <v>27</v>
      </c>
      <c r="H409">
        <v>2104</v>
      </c>
      <c r="I409">
        <v>8.1999999999999993</v>
      </c>
      <c r="J409" t="s">
        <v>523</v>
      </c>
    </row>
    <row r="410" spans="1:10" x14ac:dyDescent="0.25">
      <c r="A410">
        <v>5</v>
      </c>
      <c r="B410" t="s">
        <v>474</v>
      </c>
      <c r="C410" t="s">
        <v>19</v>
      </c>
      <c r="D410">
        <v>9</v>
      </c>
      <c r="E410" t="s">
        <v>468</v>
      </c>
      <c r="F410" t="s">
        <v>23</v>
      </c>
      <c r="G410">
        <v>31</v>
      </c>
      <c r="H410">
        <v>617</v>
      </c>
      <c r="I410">
        <v>32</v>
      </c>
      <c r="J410" t="s">
        <v>523</v>
      </c>
    </row>
    <row r="411" spans="1:10" x14ac:dyDescent="0.25">
      <c r="A411">
        <v>5</v>
      </c>
      <c r="B411" t="s">
        <v>474</v>
      </c>
      <c r="C411" t="s">
        <v>19</v>
      </c>
      <c r="D411">
        <v>17</v>
      </c>
      <c r="E411" t="s">
        <v>531</v>
      </c>
      <c r="F411" t="s">
        <v>25</v>
      </c>
      <c r="G411">
        <v>7</v>
      </c>
      <c r="H411">
        <v>375</v>
      </c>
      <c r="I411">
        <v>11.9</v>
      </c>
      <c r="J411" t="s">
        <v>523</v>
      </c>
    </row>
    <row r="412" spans="1:10" x14ac:dyDescent="0.25">
      <c r="A412">
        <v>5</v>
      </c>
      <c r="B412" t="s">
        <v>474</v>
      </c>
      <c r="C412" t="s">
        <v>19</v>
      </c>
      <c r="D412">
        <v>18</v>
      </c>
      <c r="E412" t="s">
        <v>532</v>
      </c>
      <c r="F412" t="s">
        <v>23</v>
      </c>
      <c r="G412">
        <v>9</v>
      </c>
      <c r="H412">
        <v>888</v>
      </c>
      <c r="I412">
        <v>6.5</v>
      </c>
      <c r="J412" t="s">
        <v>523</v>
      </c>
    </row>
    <row r="413" spans="1:10" x14ac:dyDescent="0.25">
      <c r="A413">
        <v>5</v>
      </c>
      <c r="B413" t="s">
        <v>474</v>
      </c>
      <c r="C413" t="s">
        <v>19</v>
      </c>
      <c r="D413">
        <v>19</v>
      </c>
      <c r="E413" t="s">
        <v>522</v>
      </c>
      <c r="F413" t="s">
        <v>25</v>
      </c>
      <c r="G413">
        <v>18</v>
      </c>
      <c r="H413">
        <v>1030</v>
      </c>
      <c r="I413">
        <v>11.1</v>
      </c>
      <c r="J413" t="s">
        <v>523</v>
      </c>
    </row>
    <row r="414" spans="1:10" x14ac:dyDescent="0.25">
      <c r="A414">
        <v>5</v>
      </c>
      <c r="B414" t="s">
        <v>474</v>
      </c>
      <c r="C414" t="s">
        <v>19</v>
      </c>
      <c r="D414">
        <v>13</v>
      </c>
      <c r="E414" t="s">
        <v>481</v>
      </c>
      <c r="F414" t="s">
        <v>17</v>
      </c>
      <c r="G414">
        <v>17</v>
      </c>
      <c r="H414">
        <v>345</v>
      </c>
      <c r="I414">
        <v>31.4</v>
      </c>
      <c r="J414" t="s">
        <v>523</v>
      </c>
    </row>
    <row r="415" spans="1:10" x14ac:dyDescent="0.25">
      <c r="A415">
        <v>5</v>
      </c>
      <c r="B415" t="s">
        <v>474</v>
      </c>
      <c r="C415" t="s">
        <v>19</v>
      </c>
      <c r="D415">
        <v>14</v>
      </c>
      <c r="E415" t="s">
        <v>482</v>
      </c>
      <c r="F415" t="s">
        <v>14</v>
      </c>
      <c r="G415">
        <v>14</v>
      </c>
      <c r="H415">
        <v>386</v>
      </c>
      <c r="I415">
        <v>23.1</v>
      </c>
      <c r="J415" t="s">
        <v>523</v>
      </c>
    </row>
    <row r="416" spans="1:10" x14ac:dyDescent="0.25">
      <c r="A416">
        <v>4</v>
      </c>
      <c r="B416" t="s">
        <v>473</v>
      </c>
      <c r="C416" t="s">
        <v>19</v>
      </c>
      <c r="D416">
        <v>35</v>
      </c>
      <c r="E416" t="s">
        <v>539</v>
      </c>
      <c r="F416" t="s">
        <v>14</v>
      </c>
      <c r="G416">
        <v>4</v>
      </c>
      <c r="H416">
        <v>100</v>
      </c>
      <c r="I416">
        <v>25.5</v>
      </c>
      <c r="J416" t="s">
        <v>523</v>
      </c>
    </row>
    <row r="417" spans="1:10" x14ac:dyDescent="0.25">
      <c r="A417">
        <v>5</v>
      </c>
      <c r="B417" t="s">
        <v>474</v>
      </c>
      <c r="C417" t="s">
        <v>19</v>
      </c>
      <c r="D417">
        <v>1</v>
      </c>
      <c r="E417" t="s">
        <v>466</v>
      </c>
      <c r="F417" t="s">
        <v>23</v>
      </c>
      <c r="G417">
        <v>8</v>
      </c>
      <c r="H417">
        <v>876</v>
      </c>
      <c r="I417">
        <v>5.8</v>
      </c>
      <c r="J417" t="s">
        <v>523</v>
      </c>
    </row>
    <row r="418" spans="1:10" x14ac:dyDescent="0.25">
      <c r="A418">
        <v>5</v>
      </c>
      <c r="B418" t="s">
        <v>474</v>
      </c>
      <c r="C418" t="s">
        <v>19</v>
      </c>
      <c r="D418">
        <v>2</v>
      </c>
      <c r="E418" t="s">
        <v>462</v>
      </c>
      <c r="F418" t="s">
        <v>23</v>
      </c>
      <c r="G418">
        <v>14</v>
      </c>
      <c r="H418">
        <v>436</v>
      </c>
      <c r="I418">
        <v>20.5</v>
      </c>
      <c r="J418" t="s">
        <v>523</v>
      </c>
    </row>
    <row r="419" spans="1:10" x14ac:dyDescent="0.25">
      <c r="A419">
        <v>5</v>
      </c>
      <c r="B419" t="s">
        <v>474</v>
      </c>
      <c r="C419" t="s">
        <v>19</v>
      </c>
      <c r="D419">
        <v>3</v>
      </c>
      <c r="E419" t="s">
        <v>493</v>
      </c>
      <c r="F419" t="s">
        <v>25</v>
      </c>
      <c r="G419">
        <v>3</v>
      </c>
      <c r="H419">
        <v>1428</v>
      </c>
      <c r="I419">
        <v>1.3</v>
      </c>
      <c r="J419" t="s">
        <v>523</v>
      </c>
    </row>
    <row r="420" spans="1:10" x14ac:dyDescent="0.25">
      <c r="A420">
        <v>5</v>
      </c>
      <c r="B420" t="s">
        <v>474</v>
      </c>
      <c r="C420" t="s">
        <v>19</v>
      </c>
      <c r="D420">
        <v>6</v>
      </c>
      <c r="E420" t="s">
        <v>527</v>
      </c>
      <c r="F420" t="s">
        <v>17</v>
      </c>
      <c r="G420">
        <v>12</v>
      </c>
      <c r="H420">
        <v>1054</v>
      </c>
      <c r="I420">
        <v>7.3</v>
      </c>
      <c r="J420" t="s">
        <v>523</v>
      </c>
    </row>
    <row r="421" spans="1:10" x14ac:dyDescent="0.25">
      <c r="A421">
        <v>4</v>
      </c>
      <c r="B421" t="s">
        <v>473</v>
      </c>
      <c r="C421" t="s">
        <v>19</v>
      </c>
      <c r="D421">
        <v>30</v>
      </c>
      <c r="E421" t="s">
        <v>530</v>
      </c>
      <c r="F421" t="s">
        <v>14</v>
      </c>
      <c r="G421">
        <v>28</v>
      </c>
      <c r="H421">
        <v>1006</v>
      </c>
      <c r="I421">
        <v>17.7</v>
      </c>
      <c r="J421" t="s">
        <v>523</v>
      </c>
    </row>
    <row r="422" spans="1:10" x14ac:dyDescent="0.25">
      <c r="A422">
        <v>4</v>
      </c>
      <c r="B422" t="s">
        <v>473</v>
      </c>
      <c r="C422" t="s">
        <v>19</v>
      </c>
      <c r="D422">
        <v>31</v>
      </c>
      <c r="E422" t="s">
        <v>496</v>
      </c>
      <c r="F422" t="s">
        <v>28</v>
      </c>
      <c r="G422">
        <v>35</v>
      </c>
      <c r="H422">
        <v>888</v>
      </c>
      <c r="I422">
        <v>25.1</v>
      </c>
      <c r="J422" t="s">
        <v>523</v>
      </c>
    </row>
    <row r="423" spans="1:10" x14ac:dyDescent="0.25">
      <c r="A423">
        <v>4</v>
      </c>
      <c r="B423" t="s">
        <v>473</v>
      </c>
      <c r="C423" t="s">
        <v>19</v>
      </c>
      <c r="D423">
        <v>32</v>
      </c>
      <c r="E423" t="s">
        <v>507</v>
      </c>
      <c r="F423" t="s">
        <v>28</v>
      </c>
      <c r="G423">
        <v>6</v>
      </c>
      <c r="H423">
        <v>150</v>
      </c>
      <c r="I423">
        <v>25.5</v>
      </c>
      <c r="J423" t="s">
        <v>523</v>
      </c>
    </row>
    <row r="424" spans="1:10" x14ac:dyDescent="0.25">
      <c r="A424">
        <v>4</v>
      </c>
      <c r="B424" t="s">
        <v>473</v>
      </c>
      <c r="C424" t="s">
        <v>19</v>
      </c>
      <c r="D424">
        <v>33</v>
      </c>
      <c r="E424" t="s">
        <v>490</v>
      </c>
      <c r="F424" t="s">
        <v>23</v>
      </c>
      <c r="G424">
        <v>2</v>
      </c>
      <c r="H424">
        <v>72</v>
      </c>
      <c r="I424">
        <v>17.7</v>
      </c>
      <c r="J424" t="s">
        <v>523</v>
      </c>
    </row>
    <row r="425" spans="1:10" x14ac:dyDescent="0.25">
      <c r="A425">
        <v>3</v>
      </c>
      <c r="B425" t="s">
        <v>470</v>
      </c>
      <c r="C425" t="s">
        <v>26</v>
      </c>
      <c r="D425">
        <v>27</v>
      </c>
      <c r="E425" t="s">
        <v>526</v>
      </c>
      <c r="F425" t="s">
        <v>25</v>
      </c>
      <c r="G425">
        <v>23</v>
      </c>
      <c r="H425">
        <v>426</v>
      </c>
      <c r="I425">
        <v>34.4</v>
      </c>
      <c r="J425" t="s">
        <v>523</v>
      </c>
    </row>
    <row r="426" spans="1:10" x14ac:dyDescent="0.25">
      <c r="A426">
        <v>4</v>
      </c>
      <c r="B426" t="s">
        <v>473</v>
      </c>
      <c r="C426" t="s">
        <v>19</v>
      </c>
      <c r="D426">
        <v>21</v>
      </c>
      <c r="E426" t="s">
        <v>476</v>
      </c>
      <c r="F426" t="s">
        <v>28</v>
      </c>
      <c r="G426">
        <v>24</v>
      </c>
      <c r="H426">
        <v>895</v>
      </c>
      <c r="I426">
        <v>17.100000000000001</v>
      </c>
      <c r="J426" t="s">
        <v>523</v>
      </c>
    </row>
    <row r="427" spans="1:10" x14ac:dyDescent="0.25">
      <c r="A427">
        <v>4</v>
      </c>
      <c r="B427" t="s">
        <v>473</v>
      </c>
      <c r="C427" t="s">
        <v>19</v>
      </c>
      <c r="D427">
        <v>22</v>
      </c>
      <c r="E427" t="s">
        <v>536</v>
      </c>
      <c r="F427" t="s">
        <v>14</v>
      </c>
      <c r="G427">
        <v>5</v>
      </c>
      <c r="H427">
        <v>202</v>
      </c>
      <c r="I427">
        <v>15.8</v>
      </c>
      <c r="J427" t="s">
        <v>523</v>
      </c>
    </row>
    <row r="428" spans="1:10" x14ac:dyDescent="0.25">
      <c r="A428">
        <v>4</v>
      </c>
      <c r="B428" t="s">
        <v>473</v>
      </c>
      <c r="C428" t="s">
        <v>19</v>
      </c>
      <c r="D428">
        <v>24</v>
      </c>
      <c r="E428" t="s">
        <v>524</v>
      </c>
      <c r="F428" t="s">
        <v>28</v>
      </c>
      <c r="G428">
        <v>20</v>
      </c>
      <c r="H428">
        <v>491</v>
      </c>
      <c r="I428">
        <v>25.9</v>
      </c>
      <c r="J428" t="s">
        <v>523</v>
      </c>
    </row>
    <row r="429" spans="1:10" x14ac:dyDescent="0.25">
      <c r="A429">
        <v>4</v>
      </c>
      <c r="B429" t="s">
        <v>473</v>
      </c>
      <c r="C429" t="s">
        <v>19</v>
      </c>
      <c r="D429">
        <v>25</v>
      </c>
      <c r="E429" t="s">
        <v>525</v>
      </c>
      <c r="F429" t="s">
        <v>25</v>
      </c>
      <c r="G429">
        <v>18</v>
      </c>
      <c r="H429">
        <v>2423</v>
      </c>
      <c r="I429">
        <v>4.7</v>
      </c>
      <c r="J429" t="s">
        <v>523</v>
      </c>
    </row>
    <row r="430" spans="1:10" x14ac:dyDescent="0.25">
      <c r="A430">
        <v>3</v>
      </c>
      <c r="B430" t="s">
        <v>470</v>
      </c>
      <c r="C430" t="s">
        <v>26</v>
      </c>
      <c r="D430">
        <v>30</v>
      </c>
      <c r="E430" t="s">
        <v>530</v>
      </c>
      <c r="F430" t="s">
        <v>14</v>
      </c>
      <c r="G430">
        <v>43</v>
      </c>
      <c r="H430">
        <v>1003</v>
      </c>
      <c r="I430">
        <v>27.3</v>
      </c>
      <c r="J430" t="s">
        <v>523</v>
      </c>
    </row>
    <row r="431" spans="1:10" x14ac:dyDescent="0.25">
      <c r="A431">
        <v>3</v>
      </c>
      <c r="B431" t="s">
        <v>470</v>
      </c>
      <c r="C431" t="s">
        <v>26</v>
      </c>
      <c r="D431">
        <v>31</v>
      </c>
      <c r="E431" t="s">
        <v>496</v>
      </c>
      <c r="F431" t="s">
        <v>28</v>
      </c>
      <c r="G431">
        <v>29</v>
      </c>
      <c r="H431">
        <v>883</v>
      </c>
      <c r="I431">
        <v>20.9</v>
      </c>
      <c r="J431" t="s">
        <v>523</v>
      </c>
    </row>
    <row r="432" spans="1:10" x14ac:dyDescent="0.25">
      <c r="A432">
        <v>3</v>
      </c>
      <c r="B432" t="s">
        <v>470</v>
      </c>
      <c r="C432" t="s">
        <v>26</v>
      </c>
      <c r="D432">
        <v>32</v>
      </c>
      <c r="E432" t="s">
        <v>507</v>
      </c>
      <c r="F432" t="s">
        <v>28</v>
      </c>
      <c r="G432">
        <v>4</v>
      </c>
      <c r="H432">
        <v>126</v>
      </c>
      <c r="I432">
        <v>20.2</v>
      </c>
      <c r="J432" t="s">
        <v>523</v>
      </c>
    </row>
    <row r="433" spans="1:10" x14ac:dyDescent="0.25">
      <c r="A433">
        <v>3</v>
      </c>
      <c r="B433" t="s">
        <v>470</v>
      </c>
      <c r="C433" t="s">
        <v>26</v>
      </c>
      <c r="D433">
        <v>33</v>
      </c>
      <c r="E433" t="s">
        <v>490</v>
      </c>
      <c r="F433" t="s">
        <v>23</v>
      </c>
      <c r="G433">
        <v>4</v>
      </c>
      <c r="H433">
        <v>82</v>
      </c>
      <c r="I433">
        <v>31.1</v>
      </c>
      <c r="J433" t="s">
        <v>523</v>
      </c>
    </row>
    <row r="434" spans="1:10" x14ac:dyDescent="0.25">
      <c r="A434">
        <v>3</v>
      </c>
      <c r="B434" t="s">
        <v>470</v>
      </c>
      <c r="C434" t="s">
        <v>26</v>
      </c>
      <c r="D434">
        <v>34</v>
      </c>
      <c r="E434" t="s">
        <v>467</v>
      </c>
      <c r="F434" t="s">
        <v>17</v>
      </c>
      <c r="G434">
        <v>7</v>
      </c>
      <c r="H434">
        <v>204</v>
      </c>
      <c r="I434">
        <v>21.9</v>
      </c>
      <c r="J434" t="s">
        <v>523</v>
      </c>
    </row>
    <row r="435" spans="1:10" x14ac:dyDescent="0.25">
      <c r="A435">
        <v>4</v>
      </c>
      <c r="B435" t="s">
        <v>473</v>
      </c>
      <c r="C435" t="s">
        <v>19</v>
      </c>
      <c r="D435">
        <v>1</v>
      </c>
      <c r="E435" t="s">
        <v>466</v>
      </c>
      <c r="F435" t="s">
        <v>23</v>
      </c>
      <c r="G435">
        <v>2</v>
      </c>
      <c r="H435">
        <v>1027</v>
      </c>
      <c r="I435">
        <v>1.2</v>
      </c>
      <c r="J435" t="s">
        <v>523</v>
      </c>
    </row>
    <row r="436" spans="1:10" x14ac:dyDescent="0.25">
      <c r="A436">
        <v>4</v>
      </c>
      <c r="B436" t="s">
        <v>473</v>
      </c>
      <c r="C436" t="s">
        <v>19</v>
      </c>
      <c r="D436">
        <v>2</v>
      </c>
      <c r="E436" t="s">
        <v>462</v>
      </c>
      <c r="F436" t="s">
        <v>23</v>
      </c>
      <c r="G436">
        <v>18</v>
      </c>
      <c r="H436">
        <v>514</v>
      </c>
      <c r="I436">
        <v>22.3</v>
      </c>
      <c r="J436" t="s">
        <v>523</v>
      </c>
    </row>
    <row r="437" spans="1:10" x14ac:dyDescent="0.25">
      <c r="A437">
        <v>4</v>
      </c>
      <c r="B437" t="s">
        <v>473</v>
      </c>
      <c r="C437" t="s">
        <v>19</v>
      </c>
      <c r="D437">
        <v>3</v>
      </c>
      <c r="E437" t="s">
        <v>493</v>
      </c>
      <c r="F437" t="s">
        <v>25</v>
      </c>
      <c r="G437">
        <v>6</v>
      </c>
      <c r="H437">
        <v>1861</v>
      </c>
      <c r="I437">
        <v>2.1</v>
      </c>
      <c r="J437" t="s">
        <v>523</v>
      </c>
    </row>
    <row r="438" spans="1:10" x14ac:dyDescent="0.25">
      <c r="A438">
        <v>4</v>
      </c>
      <c r="B438" t="s">
        <v>473</v>
      </c>
      <c r="C438" t="s">
        <v>19</v>
      </c>
      <c r="D438">
        <v>4</v>
      </c>
      <c r="E438" t="s">
        <v>504</v>
      </c>
      <c r="F438" t="s">
        <v>14</v>
      </c>
      <c r="G438">
        <v>2</v>
      </c>
      <c r="H438">
        <v>256</v>
      </c>
      <c r="I438">
        <v>5</v>
      </c>
      <c r="J438" t="s">
        <v>523</v>
      </c>
    </row>
    <row r="439" spans="1:10" x14ac:dyDescent="0.25">
      <c r="A439">
        <v>4</v>
      </c>
      <c r="B439" t="s">
        <v>473</v>
      </c>
      <c r="C439" t="s">
        <v>19</v>
      </c>
      <c r="D439">
        <v>5</v>
      </c>
      <c r="E439" t="s">
        <v>464</v>
      </c>
      <c r="F439" t="s">
        <v>14</v>
      </c>
      <c r="G439">
        <v>14</v>
      </c>
      <c r="H439">
        <v>255</v>
      </c>
      <c r="I439">
        <v>35</v>
      </c>
      <c r="J439" t="s">
        <v>523</v>
      </c>
    </row>
    <row r="440" spans="1:10" x14ac:dyDescent="0.25">
      <c r="A440">
        <v>4</v>
      </c>
      <c r="B440" t="s">
        <v>473</v>
      </c>
      <c r="C440" t="s">
        <v>19</v>
      </c>
      <c r="D440">
        <v>6</v>
      </c>
      <c r="E440" t="s">
        <v>527</v>
      </c>
      <c r="F440" t="s">
        <v>17</v>
      </c>
      <c r="G440">
        <v>44</v>
      </c>
      <c r="H440">
        <v>2996</v>
      </c>
      <c r="I440">
        <v>9.4</v>
      </c>
      <c r="J440" t="s">
        <v>523</v>
      </c>
    </row>
    <row r="441" spans="1:10" x14ac:dyDescent="0.25">
      <c r="A441">
        <v>4</v>
      </c>
      <c r="B441" t="s">
        <v>473</v>
      </c>
      <c r="C441" t="s">
        <v>19</v>
      </c>
      <c r="D441">
        <v>7</v>
      </c>
      <c r="E441" t="s">
        <v>528</v>
      </c>
      <c r="F441" t="s">
        <v>28</v>
      </c>
      <c r="G441">
        <v>9</v>
      </c>
      <c r="H441">
        <v>759</v>
      </c>
      <c r="I441">
        <v>7.6</v>
      </c>
      <c r="J441" t="s">
        <v>523</v>
      </c>
    </row>
    <row r="442" spans="1:10" x14ac:dyDescent="0.25">
      <c r="A442">
        <v>4</v>
      </c>
      <c r="B442" t="s">
        <v>473</v>
      </c>
      <c r="C442" t="s">
        <v>19</v>
      </c>
      <c r="D442">
        <v>8</v>
      </c>
      <c r="E442" t="s">
        <v>529</v>
      </c>
      <c r="F442" t="s">
        <v>14</v>
      </c>
      <c r="G442">
        <v>15</v>
      </c>
      <c r="H442">
        <v>2030</v>
      </c>
      <c r="I442">
        <v>4.7</v>
      </c>
      <c r="J442" t="s">
        <v>523</v>
      </c>
    </row>
    <row r="443" spans="1:10" x14ac:dyDescent="0.25">
      <c r="A443">
        <v>4</v>
      </c>
      <c r="B443" t="s">
        <v>473</v>
      </c>
      <c r="C443" t="s">
        <v>19</v>
      </c>
      <c r="D443">
        <v>9</v>
      </c>
      <c r="E443" t="s">
        <v>468</v>
      </c>
      <c r="F443" t="s">
        <v>23</v>
      </c>
      <c r="G443">
        <v>27</v>
      </c>
      <c r="H443">
        <v>695</v>
      </c>
      <c r="I443">
        <v>24.7</v>
      </c>
      <c r="J443" t="s">
        <v>523</v>
      </c>
    </row>
    <row r="444" spans="1:10" x14ac:dyDescent="0.25">
      <c r="A444">
        <v>4</v>
      </c>
      <c r="B444" t="s">
        <v>473</v>
      </c>
      <c r="C444" t="s">
        <v>19</v>
      </c>
      <c r="D444">
        <v>10</v>
      </c>
      <c r="E444" t="s">
        <v>534</v>
      </c>
      <c r="F444" t="s">
        <v>23</v>
      </c>
      <c r="G444">
        <v>8</v>
      </c>
      <c r="H444">
        <v>520</v>
      </c>
      <c r="I444">
        <v>9.8000000000000007</v>
      </c>
      <c r="J444" t="s">
        <v>523</v>
      </c>
    </row>
    <row r="445" spans="1:10" x14ac:dyDescent="0.25">
      <c r="A445">
        <v>4</v>
      </c>
      <c r="B445" t="s">
        <v>473</v>
      </c>
      <c r="C445" t="s">
        <v>19</v>
      </c>
      <c r="D445">
        <v>11</v>
      </c>
      <c r="E445" t="s">
        <v>469</v>
      </c>
      <c r="F445" t="s">
        <v>25</v>
      </c>
      <c r="G445">
        <v>3</v>
      </c>
      <c r="H445">
        <v>177</v>
      </c>
      <c r="I445">
        <v>10.8</v>
      </c>
      <c r="J445" t="s">
        <v>523</v>
      </c>
    </row>
    <row r="446" spans="1:10" x14ac:dyDescent="0.25">
      <c r="A446">
        <v>4</v>
      </c>
      <c r="B446" t="s">
        <v>473</v>
      </c>
      <c r="C446" t="s">
        <v>19</v>
      </c>
      <c r="D446">
        <v>12</v>
      </c>
      <c r="E446" t="s">
        <v>475</v>
      </c>
      <c r="F446" t="s">
        <v>28</v>
      </c>
      <c r="G446">
        <v>7</v>
      </c>
      <c r="H446">
        <v>167</v>
      </c>
      <c r="I446">
        <v>26.7</v>
      </c>
      <c r="J446" t="s">
        <v>523</v>
      </c>
    </row>
    <row r="447" spans="1:10" x14ac:dyDescent="0.25">
      <c r="A447">
        <v>4</v>
      </c>
      <c r="B447" t="s">
        <v>473</v>
      </c>
      <c r="C447" t="s">
        <v>19</v>
      </c>
      <c r="D447">
        <v>13</v>
      </c>
      <c r="E447" t="s">
        <v>481</v>
      </c>
      <c r="F447" t="s">
        <v>17</v>
      </c>
      <c r="G447">
        <v>4</v>
      </c>
      <c r="H447">
        <v>535</v>
      </c>
      <c r="I447">
        <v>4.8</v>
      </c>
      <c r="J447" t="s">
        <v>523</v>
      </c>
    </row>
    <row r="448" spans="1:10" x14ac:dyDescent="0.25">
      <c r="A448">
        <v>4</v>
      </c>
      <c r="B448" t="s">
        <v>473</v>
      </c>
      <c r="C448" t="s">
        <v>19</v>
      </c>
      <c r="D448">
        <v>14</v>
      </c>
      <c r="E448" t="s">
        <v>482</v>
      </c>
      <c r="F448" t="s">
        <v>14</v>
      </c>
      <c r="G448">
        <v>4</v>
      </c>
      <c r="H448">
        <v>657</v>
      </c>
      <c r="I448">
        <v>3.9</v>
      </c>
      <c r="J448" t="s">
        <v>523</v>
      </c>
    </row>
    <row r="449" spans="1:10" x14ac:dyDescent="0.25">
      <c r="A449">
        <v>4</v>
      </c>
      <c r="B449" t="s">
        <v>473</v>
      </c>
      <c r="C449" t="s">
        <v>19</v>
      </c>
      <c r="D449">
        <v>15</v>
      </c>
      <c r="E449" t="s">
        <v>471</v>
      </c>
      <c r="F449" t="s">
        <v>23</v>
      </c>
      <c r="G449">
        <v>9</v>
      </c>
      <c r="H449">
        <v>532</v>
      </c>
      <c r="I449">
        <v>10.8</v>
      </c>
      <c r="J449" t="s">
        <v>523</v>
      </c>
    </row>
    <row r="450" spans="1:10" x14ac:dyDescent="0.25">
      <c r="A450">
        <v>4</v>
      </c>
      <c r="B450" t="s">
        <v>473</v>
      </c>
      <c r="C450" t="s">
        <v>19</v>
      </c>
      <c r="D450">
        <v>16</v>
      </c>
      <c r="E450" t="s">
        <v>513</v>
      </c>
      <c r="F450" t="s">
        <v>14</v>
      </c>
      <c r="G450">
        <v>8</v>
      </c>
      <c r="H450">
        <v>301</v>
      </c>
      <c r="I450">
        <v>16.899999999999999</v>
      </c>
      <c r="J450" t="s">
        <v>523</v>
      </c>
    </row>
    <row r="451" spans="1:10" x14ac:dyDescent="0.25">
      <c r="A451">
        <v>4</v>
      </c>
      <c r="B451" t="s">
        <v>473</v>
      </c>
      <c r="C451" t="s">
        <v>19</v>
      </c>
      <c r="D451">
        <v>17</v>
      </c>
      <c r="E451" t="s">
        <v>531</v>
      </c>
      <c r="F451" t="s">
        <v>25</v>
      </c>
      <c r="G451">
        <v>2</v>
      </c>
      <c r="H451">
        <v>386</v>
      </c>
      <c r="I451">
        <v>3.3</v>
      </c>
      <c r="J451" t="s">
        <v>523</v>
      </c>
    </row>
    <row r="452" spans="1:10" x14ac:dyDescent="0.25">
      <c r="A452">
        <v>4</v>
      </c>
      <c r="B452" t="s">
        <v>473</v>
      </c>
      <c r="C452" t="s">
        <v>19</v>
      </c>
      <c r="D452">
        <v>18</v>
      </c>
      <c r="E452" t="s">
        <v>532</v>
      </c>
      <c r="F452" t="s">
        <v>23</v>
      </c>
      <c r="G452">
        <v>17</v>
      </c>
      <c r="H452">
        <v>1701</v>
      </c>
      <c r="I452">
        <v>6.4</v>
      </c>
      <c r="J452" t="s">
        <v>523</v>
      </c>
    </row>
    <row r="453" spans="1:10" x14ac:dyDescent="0.25">
      <c r="A453">
        <v>4</v>
      </c>
      <c r="B453" t="s">
        <v>473</v>
      </c>
      <c r="C453" t="s">
        <v>19</v>
      </c>
      <c r="D453">
        <v>19</v>
      </c>
      <c r="E453" t="s">
        <v>522</v>
      </c>
      <c r="F453" t="s">
        <v>25</v>
      </c>
      <c r="G453">
        <v>2</v>
      </c>
      <c r="H453">
        <v>1212</v>
      </c>
      <c r="I453">
        <v>1.1000000000000001</v>
      </c>
      <c r="J453" t="s">
        <v>523</v>
      </c>
    </row>
    <row r="454" spans="1:10" x14ac:dyDescent="0.25">
      <c r="A454">
        <v>3</v>
      </c>
      <c r="B454" t="s">
        <v>470</v>
      </c>
      <c r="C454" t="s">
        <v>26</v>
      </c>
      <c r="D454">
        <v>17</v>
      </c>
      <c r="E454" t="s">
        <v>531</v>
      </c>
      <c r="F454" t="s">
        <v>25</v>
      </c>
      <c r="G454">
        <v>1</v>
      </c>
      <c r="H454">
        <v>396</v>
      </c>
      <c r="I454">
        <v>1.6</v>
      </c>
      <c r="J454" t="s">
        <v>523</v>
      </c>
    </row>
    <row r="455" spans="1:10" x14ac:dyDescent="0.25">
      <c r="A455">
        <v>3</v>
      </c>
      <c r="B455" t="s">
        <v>470</v>
      </c>
      <c r="C455" t="s">
        <v>26</v>
      </c>
      <c r="D455">
        <v>12</v>
      </c>
      <c r="E455" t="s">
        <v>475</v>
      </c>
      <c r="F455" t="s">
        <v>28</v>
      </c>
      <c r="G455">
        <v>4</v>
      </c>
      <c r="H455">
        <v>120</v>
      </c>
      <c r="I455">
        <v>21.2</v>
      </c>
      <c r="J455" t="s">
        <v>523</v>
      </c>
    </row>
    <row r="456" spans="1:10" x14ac:dyDescent="0.25">
      <c r="A456">
        <v>3</v>
      </c>
      <c r="B456" t="s">
        <v>470</v>
      </c>
      <c r="C456" t="s">
        <v>26</v>
      </c>
      <c r="D456">
        <v>13</v>
      </c>
      <c r="E456" t="s">
        <v>481</v>
      </c>
      <c r="F456" t="s">
        <v>17</v>
      </c>
      <c r="G456">
        <v>8</v>
      </c>
      <c r="H456">
        <v>232</v>
      </c>
      <c r="I456">
        <v>22</v>
      </c>
      <c r="J456" t="s">
        <v>523</v>
      </c>
    </row>
    <row r="457" spans="1:10" x14ac:dyDescent="0.25">
      <c r="A457">
        <v>3</v>
      </c>
      <c r="B457" t="s">
        <v>470</v>
      </c>
      <c r="C457" t="s">
        <v>26</v>
      </c>
      <c r="D457">
        <v>14</v>
      </c>
      <c r="E457" t="s">
        <v>482</v>
      </c>
      <c r="F457" t="s">
        <v>14</v>
      </c>
      <c r="G457">
        <v>4</v>
      </c>
      <c r="H457">
        <v>422</v>
      </c>
      <c r="I457">
        <v>6</v>
      </c>
      <c r="J457" t="s">
        <v>523</v>
      </c>
    </row>
    <row r="458" spans="1:10" x14ac:dyDescent="0.25">
      <c r="A458">
        <v>3</v>
      </c>
      <c r="B458" t="s">
        <v>470</v>
      </c>
      <c r="C458" t="s">
        <v>26</v>
      </c>
      <c r="D458">
        <v>19</v>
      </c>
      <c r="E458" t="s">
        <v>522</v>
      </c>
      <c r="F458" t="s">
        <v>25</v>
      </c>
      <c r="G458">
        <v>33</v>
      </c>
      <c r="H458">
        <v>1376</v>
      </c>
      <c r="I458">
        <v>15.3</v>
      </c>
      <c r="J458" t="s">
        <v>523</v>
      </c>
    </row>
    <row r="459" spans="1:10" x14ac:dyDescent="0.25">
      <c r="A459">
        <v>3</v>
      </c>
      <c r="B459" t="s">
        <v>470</v>
      </c>
      <c r="C459" t="s">
        <v>26</v>
      </c>
      <c r="D459">
        <v>21</v>
      </c>
      <c r="E459" t="s">
        <v>476</v>
      </c>
      <c r="F459" t="s">
        <v>28</v>
      </c>
      <c r="G459">
        <v>3</v>
      </c>
      <c r="H459">
        <v>239</v>
      </c>
      <c r="I459">
        <v>8</v>
      </c>
      <c r="J459" t="s">
        <v>523</v>
      </c>
    </row>
    <row r="460" spans="1:10" x14ac:dyDescent="0.25">
      <c r="A460">
        <v>3</v>
      </c>
      <c r="B460" t="s">
        <v>470</v>
      </c>
      <c r="C460" t="s">
        <v>26</v>
      </c>
      <c r="D460">
        <v>24</v>
      </c>
      <c r="E460" t="s">
        <v>524</v>
      </c>
      <c r="F460" t="s">
        <v>28</v>
      </c>
      <c r="G460">
        <v>15</v>
      </c>
      <c r="H460">
        <v>451</v>
      </c>
      <c r="I460">
        <v>21.2</v>
      </c>
      <c r="J460" t="s">
        <v>523</v>
      </c>
    </row>
    <row r="461" spans="1:10" x14ac:dyDescent="0.25">
      <c r="A461">
        <v>3</v>
      </c>
      <c r="B461" t="s">
        <v>470</v>
      </c>
      <c r="C461" t="s">
        <v>26</v>
      </c>
      <c r="D461">
        <v>25</v>
      </c>
      <c r="E461" t="s">
        <v>525</v>
      </c>
      <c r="F461" t="s">
        <v>25</v>
      </c>
      <c r="G461">
        <v>44</v>
      </c>
      <c r="H461">
        <v>2124</v>
      </c>
      <c r="I461">
        <v>13.2</v>
      </c>
      <c r="J461" t="s">
        <v>523</v>
      </c>
    </row>
    <row r="462" spans="1:10" x14ac:dyDescent="0.25">
      <c r="A462">
        <v>3</v>
      </c>
      <c r="B462" t="s">
        <v>470</v>
      </c>
      <c r="C462" t="s">
        <v>26</v>
      </c>
      <c r="D462">
        <v>1</v>
      </c>
      <c r="E462" t="s">
        <v>466</v>
      </c>
      <c r="F462" t="s">
        <v>23</v>
      </c>
      <c r="G462">
        <v>17</v>
      </c>
      <c r="H462">
        <v>1158</v>
      </c>
      <c r="I462">
        <v>9.4</v>
      </c>
      <c r="J462" t="s">
        <v>523</v>
      </c>
    </row>
    <row r="463" spans="1:10" x14ac:dyDescent="0.25">
      <c r="A463">
        <v>3</v>
      </c>
      <c r="B463" t="s">
        <v>470</v>
      </c>
      <c r="C463" t="s">
        <v>26</v>
      </c>
      <c r="D463">
        <v>2</v>
      </c>
      <c r="E463" t="s">
        <v>462</v>
      </c>
      <c r="F463" t="s">
        <v>23</v>
      </c>
      <c r="G463">
        <v>8</v>
      </c>
      <c r="H463">
        <v>966</v>
      </c>
      <c r="I463">
        <v>5.3</v>
      </c>
      <c r="J463" t="s">
        <v>523</v>
      </c>
    </row>
    <row r="464" spans="1:10" x14ac:dyDescent="0.25">
      <c r="A464">
        <v>3</v>
      </c>
      <c r="B464" t="s">
        <v>470</v>
      </c>
      <c r="C464" t="s">
        <v>26</v>
      </c>
      <c r="D464">
        <v>3</v>
      </c>
      <c r="E464" t="s">
        <v>493</v>
      </c>
      <c r="F464" t="s">
        <v>25</v>
      </c>
      <c r="G464">
        <v>35</v>
      </c>
      <c r="H464">
        <v>1676</v>
      </c>
      <c r="I464">
        <v>13.3</v>
      </c>
      <c r="J464" t="s">
        <v>523</v>
      </c>
    </row>
    <row r="465" spans="1:10" x14ac:dyDescent="0.25">
      <c r="A465">
        <v>3</v>
      </c>
      <c r="B465" t="s">
        <v>470</v>
      </c>
      <c r="C465" t="s">
        <v>26</v>
      </c>
      <c r="D465">
        <v>6</v>
      </c>
      <c r="E465" t="s">
        <v>527</v>
      </c>
      <c r="F465" t="s">
        <v>17</v>
      </c>
      <c r="G465">
        <v>21</v>
      </c>
      <c r="H465">
        <v>2629</v>
      </c>
      <c r="I465">
        <v>5.0999999999999996</v>
      </c>
      <c r="J465" t="s">
        <v>523</v>
      </c>
    </row>
    <row r="466" spans="1:10" x14ac:dyDescent="0.25">
      <c r="A466">
        <v>3</v>
      </c>
      <c r="B466" t="s">
        <v>470</v>
      </c>
      <c r="C466" t="s">
        <v>26</v>
      </c>
      <c r="D466">
        <v>7</v>
      </c>
      <c r="E466" t="s">
        <v>528</v>
      </c>
      <c r="F466" t="s">
        <v>28</v>
      </c>
      <c r="G466">
        <v>8</v>
      </c>
      <c r="H466">
        <v>636</v>
      </c>
      <c r="I466">
        <v>8</v>
      </c>
      <c r="J466" t="s">
        <v>523</v>
      </c>
    </row>
    <row r="467" spans="1:10" x14ac:dyDescent="0.25">
      <c r="A467">
        <v>3</v>
      </c>
      <c r="B467" t="s">
        <v>470</v>
      </c>
      <c r="C467" t="s">
        <v>26</v>
      </c>
      <c r="D467">
        <v>8</v>
      </c>
      <c r="E467" t="s">
        <v>529</v>
      </c>
      <c r="F467" t="s">
        <v>14</v>
      </c>
      <c r="G467">
        <v>44</v>
      </c>
      <c r="H467">
        <v>1838</v>
      </c>
      <c r="I467">
        <v>15.2</v>
      </c>
      <c r="J467" t="s">
        <v>523</v>
      </c>
    </row>
    <row r="468" spans="1:10" x14ac:dyDescent="0.25">
      <c r="A468">
        <v>3</v>
      </c>
      <c r="B468" t="s">
        <v>470</v>
      </c>
      <c r="C468" t="s">
        <v>26</v>
      </c>
      <c r="D468">
        <v>9</v>
      </c>
      <c r="E468" t="s">
        <v>468</v>
      </c>
      <c r="F468" t="s">
        <v>23</v>
      </c>
      <c r="G468">
        <v>4</v>
      </c>
      <c r="H468">
        <v>901</v>
      </c>
      <c r="I468">
        <v>2.8</v>
      </c>
      <c r="J468" t="s">
        <v>523</v>
      </c>
    </row>
    <row r="469" spans="1:10" x14ac:dyDescent="0.25">
      <c r="A469">
        <v>2</v>
      </c>
      <c r="B469" t="s">
        <v>465</v>
      </c>
      <c r="C469" t="s">
        <v>21</v>
      </c>
      <c r="D469">
        <v>12</v>
      </c>
      <c r="E469" t="s">
        <v>475</v>
      </c>
      <c r="F469" t="s">
        <v>28</v>
      </c>
      <c r="G469">
        <v>2</v>
      </c>
      <c r="H469">
        <v>102</v>
      </c>
      <c r="I469">
        <v>12.5</v>
      </c>
      <c r="J469" t="s">
        <v>523</v>
      </c>
    </row>
    <row r="470" spans="1:10" x14ac:dyDescent="0.25">
      <c r="A470">
        <v>2</v>
      </c>
      <c r="B470" t="s">
        <v>465</v>
      </c>
      <c r="C470" t="s">
        <v>21</v>
      </c>
      <c r="D470">
        <v>13</v>
      </c>
      <c r="E470" t="s">
        <v>481</v>
      </c>
      <c r="F470" t="s">
        <v>17</v>
      </c>
      <c r="G470">
        <v>3</v>
      </c>
      <c r="H470">
        <v>353</v>
      </c>
      <c r="I470">
        <v>5.4</v>
      </c>
      <c r="J470" t="s">
        <v>523</v>
      </c>
    </row>
    <row r="471" spans="1:10" x14ac:dyDescent="0.25">
      <c r="A471">
        <v>2</v>
      </c>
      <c r="B471" t="s">
        <v>465</v>
      </c>
      <c r="C471" t="s">
        <v>21</v>
      </c>
      <c r="D471">
        <v>15</v>
      </c>
      <c r="E471" t="s">
        <v>471</v>
      </c>
      <c r="F471" t="s">
        <v>23</v>
      </c>
      <c r="G471">
        <v>20</v>
      </c>
      <c r="H471">
        <v>515</v>
      </c>
      <c r="I471">
        <v>24.7</v>
      </c>
      <c r="J471" t="s">
        <v>523</v>
      </c>
    </row>
    <row r="472" spans="1:10" x14ac:dyDescent="0.25">
      <c r="A472">
        <v>2</v>
      </c>
      <c r="B472" t="s">
        <v>465</v>
      </c>
      <c r="C472" t="s">
        <v>21</v>
      </c>
      <c r="D472">
        <v>17</v>
      </c>
      <c r="E472" t="s">
        <v>531</v>
      </c>
      <c r="F472" t="s">
        <v>25</v>
      </c>
      <c r="G472">
        <v>12</v>
      </c>
      <c r="H472">
        <v>655</v>
      </c>
      <c r="I472">
        <v>11.7</v>
      </c>
      <c r="J472" t="s">
        <v>523</v>
      </c>
    </row>
    <row r="473" spans="1:10" x14ac:dyDescent="0.25">
      <c r="A473">
        <v>2</v>
      </c>
      <c r="B473" t="s">
        <v>465</v>
      </c>
      <c r="C473" t="s">
        <v>21</v>
      </c>
      <c r="D473">
        <v>18</v>
      </c>
      <c r="E473" t="s">
        <v>532</v>
      </c>
      <c r="F473" t="s">
        <v>23</v>
      </c>
      <c r="G473">
        <v>38</v>
      </c>
      <c r="H473">
        <v>1661</v>
      </c>
      <c r="I473">
        <v>14.6</v>
      </c>
      <c r="J473" t="s">
        <v>523</v>
      </c>
    </row>
    <row r="474" spans="1:10" x14ac:dyDescent="0.25">
      <c r="A474">
        <v>2</v>
      </c>
      <c r="B474" t="s">
        <v>465</v>
      </c>
      <c r="C474" t="s">
        <v>21</v>
      </c>
      <c r="D474">
        <v>19</v>
      </c>
      <c r="E474" t="s">
        <v>522</v>
      </c>
      <c r="F474" t="s">
        <v>25</v>
      </c>
      <c r="G474">
        <v>35</v>
      </c>
      <c r="H474">
        <v>877</v>
      </c>
      <c r="I474">
        <v>25.4</v>
      </c>
      <c r="J474" t="s">
        <v>523</v>
      </c>
    </row>
    <row r="475" spans="1:10" x14ac:dyDescent="0.25">
      <c r="A475">
        <v>2</v>
      </c>
      <c r="B475" t="s">
        <v>465</v>
      </c>
      <c r="C475" t="s">
        <v>21</v>
      </c>
      <c r="D475">
        <v>21</v>
      </c>
      <c r="E475" t="s">
        <v>476</v>
      </c>
      <c r="F475" t="s">
        <v>28</v>
      </c>
      <c r="G475">
        <v>20</v>
      </c>
      <c r="H475">
        <v>604</v>
      </c>
      <c r="I475">
        <v>21.1</v>
      </c>
      <c r="J475" t="s">
        <v>523</v>
      </c>
    </row>
    <row r="476" spans="1:10" x14ac:dyDescent="0.25">
      <c r="A476">
        <v>2</v>
      </c>
      <c r="B476" t="s">
        <v>465</v>
      </c>
      <c r="C476" t="s">
        <v>21</v>
      </c>
      <c r="D476">
        <v>25</v>
      </c>
      <c r="E476" t="s">
        <v>525</v>
      </c>
      <c r="F476" t="s">
        <v>25</v>
      </c>
      <c r="G476">
        <v>32</v>
      </c>
      <c r="H476">
        <v>2461</v>
      </c>
      <c r="I476">
        <v>8.3000000000000007</v>
      </c>
      <c r="J476" t="s">
        <v>523</v>
      </c>
    </row>
    <row r="477" spans="1:10" x14ac:dyDescent="0.25">
      <c r="A477">
        <v>2</v>
      </c>
      <c r="B477" t="s">
        <v>465</v>
      </c>
      <c r="C477" t="s">
        <v>21</v>
      </c>
      <c r="D477">
        <v>28</v>
      </c>
      <c r="E477" t="s">
        <v>477</v>
      </c>
      <c r="F477" t="s">
        <v>25</v>
      </c>
      <c r="G477">
        <v>2</v>
      </c>
      <c r="H477">
        <v>48</v>
      </c>
      <c r="I477">
        <v>26.5</v>
      </c>
      <c r="J477" t="s">
        <v>523</v>
      </c>
    </row>
    <row r="478" spans="1:10" x14ac:dyDescent="0.25">
      <c r="A478">
        <v>2</v>
      </c>
      <c r="B478" t="s">
        <v>465</v>
      </c>
      <c r="C478" t="s">
        <v>21</v>
      </c>
      <c r="D478">
        <v>29</v>
      </c>
      <c r="E478" t="s">
        <v>472</v>
      </c>
      <c r="F478" t="s">
        <v>23</v>
      </c>
      <c r="G478">
        <v>5</v>
      </c>
      <c r="H478">
        <v>112</v>
      </c>
      <c r="I478">
        <v>28.4</v>
      </c>
      <c r="J478" t="s">
        <v>523</v>
      </c>
    </row>
    <row r="479" spans="1:10" x14ac:dyDescent="0.25">
      <c r="A479">
        <v>2</v>
      </c>
      <c r="B479" t="s">
        <v>465</v>
      </c>
      <c r="C479" t="s">
        <v>21</v>
      </c>
      <c r="D479">
        <v>31</v>
      </c>
      <c r="E479" t="s">
        <v>496</v>
      </c>
      <c r="F479" t="s">
        <v>28</v>
      </c>
      <c r="G479">
        <v>18</v>
      </c>
      <c r="H479">
        <v>768</v>
      </c>
      <c r="I479">
        <v>14.9</v>
      </c>
      <c r="J479" t="s">
        <v>523</v>
      </c>
    </row>
    <row r="480" spans="1:10" x14ac:dyDescent="0.25">
      <c r="A480">
        <v>2</v>
      </c>
      <c r="B480" t="s">
        <v>465</v>
      </c>
      <c r="C480" t="s">
        <v>21</v>
      </c>
      <c r="D480">
        <v>10</v>
      </c>
      <c r="E480" t="s">
        <v>534</v>
      </c>
      <c r="F480" t="s">
        <v>23</v>
      </c>
      <c r="G480">
        <v>10</v>
      </c>
      <c r="H480">
        <v>722</v>
      </c>
      <c r="I480">
        <v>8.8000000000000007</v>
      </c>
      <c r="J480" t="s">
        <v>523</v>
      </c>
    </row>
    <row r="481" spans="1:10" x14ac:dyDescent="0.25">
      <c r="A481">
        <v>2</v>
      </c>
      <c r="B481" t="s">
        <v>465</v>
      </c>
      <c r="C481" t="s">
        <v>21</v>
      </c>
      <c r="D481">
        <v>2</v>
      </c>
      <c r="E481" t="s">
        <v>462</v>
      </c>
      <c r="F481" t="s">
        <v>23</v>
      </c>
      <c r="G481">
        <v>6</v>
      </c>
      <c r="H481">
        <v>689</v>
      </c>
      <c r="I481">
        <v>5.5</v>
      </c>
      <c r="J481" t="s">
        <v>523</v>
      </c>
    </row>
    <row r="482" spans="1:10" x14ac:dyDescent="0.25">
      <c r="A482">
        <v>2</v>
      </c>
      <c r="B482" t="s">
        <v>465</v>
      </c>
      <c r="C482" t="s">
        <v>21</v>
      </c>
      <c r="D482">
        <v>3</v>
      </c>
      <c r="E482" t="s">
        <v>493</v>
      </c>
      <c r="F482" t="s">
        <v>25</v>
      </c>
      <c r="G482">
        <v>18</v>
      </c>
      <c r="H482">
        <v>2614</v>
      </c>
      <c r="I482">
        <v>4.4000000000000004</v>
      </c>
      <c r="J482" t="s">
        <v>523</v>
      </c>
    </row>
    <row r="483" spans="1:10" x14ac:dyDescent="0.25">
      <c r="A483">
        <v>2</v>
      </c>
      <c r="B483" t="s">
        <v>465</v>
      </c>
      <c r="C483" t="s">
        <v>21</v>
      </c>
      <c r="D483">
        <v>6</v>
      </c>
      <c r="E483" t="s">
        <v>527</v>
      </c>
      <c r="F483" t="s">
        <v>17</v>
      </c>
      <c r="G483">
        <v>6</v>
      </c>
      <c r="H483">
        <v>2053</v>
      </c>
      <c r="I483">
        <v>1.9</v>
      </c>
      <c r="J483" t="s">
        <v>523</v>
      </c>
    </row>
    <row r="484" spans="1:10" x14ac:dyDescent="0.25">
      <c r="A484">
        <v>2</v>
      </c>
      <c r="B484" t="s">
        <v>465</v>
      </c>
      <c r="C484" t="s">
        <v>21</v>
      </c>
      <c r="D484">
        <v>7</v>
      </c>
      <c r="E484" t="s">
        <v>528</v>
      </c>
      <c r="F484" t="s">
        <v>28</v>
      </c>
      <c r="G484">
        <v>14</v>
      </c>
      <c r="H484">
        <v>564</v>
      </c>
      <c r="I484">
        <v>15.8</v>
      </c>
      <c r="J484" t="s">
        <v>523</v>
      </c>
    </row>
    <row r="485" spans="1:10" x14ac:dyDescent="0.25">
      <c r="A485">
        <v>2</v>
      </c>
      <c r="B485" t="s">
        <v>465</v>
      </c>
      <c r="C485" t="s">
        <v>21</v>
      </c>
      <c r="D485">
        <v>8</v>
      </c>
      <c r="E485" t="s">
        <v>529</v>
      </c>
      <c r="F485" t="s">
        <v>14</v>
      </c>
      <c r="G485">
        <v>76</v>
      </c>
      <c r="H485">
        <v>1583</v>
      </c>
      <c r="I485">
        <v>30.6</v>
      </c>
      <c r="J485" t="s">
        <v>523</v>
      </c>
    </row>
    <row r="486" spans="1:10" x14ac:dyDescent="0.25">
      <c r="A486">
        <v>1</v>
      </c>
      <c r="B486" t="s">
        <v>461</v>
      </c>
      <c r="C486" t="s">
        <v>21</v>
      </c>
      <c r="D486">
        <v>3</v>
      </c>
      <c r="E486" t="s">
        <v>493</v>
      </c>
      <c r="F486" t="s">
        <v>25</v>
      </c>
      <c r="G486">
        <v>32</v>
      </c>
      <c r="H486">
        <v>1668</v>
      </c>
      <c r="I486">
        <v>12.2</v>
      </c>
      <c r="J486" t="s">
        <v>523</v>
      </c>
    </row>
    <row r="487" spans="1:10" x14ac:dyDescent="0.25">
      <c r="A487">
        <v>1</v>
      </c>
      <c r="B487" t="s">
        <v>461</v>
      </c>
      <c r="C487" t="s">
        <v>21</v>
      </c>
      <c r="D487">
        <v>29</v>
      </c>
      <c r="E487" t="s">
        <v>472</v>
      </c>
      <c r="F487" t="s">
        <v>23</v>
      </c>
      <c r="G487">
        <v>4</v>
      </c>
      <c r="H487">
        <v>89</v>
      </c>
      <c r="I487">
        <v>28.6</v>
      </c>
      <c r="J487" t="s">
        <v>523</v>
      </c>
    </row>
    <row r="488" spans="1:10" x14ac:dyDescent="0.25">
      <c r="A488">
        <v>1</v>
      </c>
      <c r="B488" t="s">
        <v>461</v>
      </c>
      <c r="C488" t="s">
        <v>21</v>
      </c>
      <c r="D488">
        <v>30</v>
      </c>
      <c r="E488" t="s">
        <v>530</v>
      </c>
      <c r="F488" t="s">
        <v>14</v>
      </c>
      <c r="G488">
        <v>44</v>
      </c>
      <c r="H488">
        <v>970</v>
      </c>
      <c r="I488">
        <v>28.9</v>
      </c>
      <c r="J488" t="s">
        <v>523</v>
      </c>
    </row>
    <row r="489" spans="1:10" x14ac:dyDescent="0.25">
      <c r="A489">
        <v>1</v>
      </c>
      <c r="B489" t="s">
        <v>461</v>
      </c>
      <c r="C489" t="s">
        <v>21</v>
      </c>
      <c r="D489">
        <v>31</v>
      </c>
      <c r="E489" t="s">
        <v>496</v>
      </c>
      <c r="F489" t="s">
        <v>28</v>
      </c>
      <c r="G489">
        <v>7</v>
      </c>
      <c r="H489">
        <v>687</v>
      </c>
      <c r="I489">
        <v>6.5</v>
      </c>
      <c r="J489" t="s">
        <v>523</v>
      </c>
    </row>
    <row r="490" spans="1:10" x14ac:dyDescent="0.25">
      <c r="A490">
        <v>1</v>
      </c>
      <c r="B490" t="s">
        <v>461</v>
      </c>
      <c r="C490" t="s">
        <v>21</v>
      </c>
      <c r="D490">
        <v>32</v>
      </c>
      <c r="E490" t="s">
        <v>507</v>
      </c>
      <c r="F490" t="s">
        <v>28</v>
      </c>
      <c r="G490">
        <v>4</v>
      </c>
      <c r="H490">
        <v>170</v>
      </c>
      <c r="I490">
        <v>15</v>
      </c>
      <c r="J490" t="s">
        <v>523</v>
      </c>
    </row>
    <row r="491" spans="1:10" x14ac:dyDescent="0.25">
      <c r="A491">
        <v>1</v>
      </c>
      <c r="B491" t="s">
        <v>461</v>
      </c>
      <c r="C491" t="s">
        <v>21</v>
      </c>
      <c r="D491">
        <v>33</v>
      </c>
      <c r="E491" t="s">
        <v>490</v>
      </c>
      <c r="F491" t="s">
        <v>23</v>
      </c>
      <c r="G491">
        <v>2</v>
      </c>
      <c r="H491">
        <v>238</v>
      </c>
      <c r="I491">
        <v>5.4</v>
      </c>
      <c r="J491" t="s">
        <v>523</v>
      </c>
    </row>
    <row r="492" spans="1:10" x14ac:dyDescent="0.25">
      <c r="A492">
        <v>1</v>
      </c>
      <c r="B492" t="s">
        <v>461</v>
      </c>
      <c r="C492" t="s">
        <v>21</v>
      </c>
      <c r="D492">
        <v>7</v>
      </c>
      <c r="E492" t="s">
        <v>528</v>
      </c>
      <c r="F492" t="s">
        <v>28</v>
      </c>
      <c r="G492">
        <v>5</v>
      </c>
      <c r="H492">
        <v>614</v>
      </c>
      <c r="I492">
        <v>5.2</v>
      </c>
      <c r="J492" t="s">
        <v>523</v>
      </c>
    </row>
    <row r="493" spans="1:10" x14ac:dyDescent="0.25">
      <c r="A493">
        <v>1</v>
      </c>
      <c r="B493" t="s">
        <v>461</v>
      </c>
      <c r="C493" t="s">
        <v>21</v>
      </c>
      <c r="D493">
        <v>8</v>
      </c>
      <c r="E493" t="s">
        <v>529</v>
      </c>
      <c r="F493" t="s">
        <v>14</v>
      </c>
      <c r="G493">
        <v>63</v>
      </c>
      <c r="H493">
        <v>2124</v>
      </c>
      <c r="I493">
        <v>18.899999999999999</v>
      </c>
      <c r="J493" t="s">
        <v>523</v>
      </c>
    </row>
    <row r="494" spans="1:10" x14ac:dyDescent="0.25">
      <c r="A494">
        <v>1</v>
      </c>
      <c r="B494" t="s">
        <v>461</v>
      </c>
      <c r="C494" t="s">
        <v>21</v>
      </c>
      <c r="D494">
        <v>9</v>
      </c>
      <c r="E494" t="s">
        <v>468</v>
      </c>
      <c r="F494" t="s">
        <v>23</v>
      </c>
      <c r="G494">
        <v>12</v>
      </c>
      <c r="H494">
        <v>620</v>
      </c>
      <c r="I494">
        <v>12.3</v>
      </c>
      <c r="J494" t="s">
        <v>523</v>
      </c>
    </row>
    <row r="495" spans="1:10" x14ac:dyDescent="0.25">
      <c r="A495">
        <v>1</v>
      </c>
      <c r="B495" t="s">
        <v>461</v>
      </c>
      <c r="C495" t="s">
        <v>21</v>
      </c>
      <c r="D495">
        <v>10</v>
      </c>
      <c r="E495" t="s">
        <v>534</v>
      </c>
      <c r="F495" t="s">
        <v>23</v>
      </c>
      <c r="G495">
        <v>22</v>
      </c>
      <c r="H495">
        <v>656</v>
      </c>
      <c r="I495">
        <v>21.4</v>
      </c>
      <c r="J495" t="s">
        <v>523</v>
      </c>
    </row>
    <row r="496" spans="1:10" x14ac:dyDescent="0.25">
      <c r="A496">
        <v>1</v>
      </c>
      <c r="B496" t="s">
        <v>461</v>
      </c>
      <c r="C496" t="s">
        <v>21</v>
      </c>
      <c r="D496">
        <v>11</v>
      </c>
      <c r="E496" t="s">
        <v>469</v>
      </c>
      <c r="F496" t="s">
        <v>25</v>
      </c>
      <c r="G496">
        <v>19</v>
      </c>
      <c r="H496">
        <v>380</v>
      </c>
      <c r="I496">
        <v>31.9</v>
      </c>
      <c r="J496" t="s">
        <v>523</v>
      </c>
    </row>
    <row r="497" spans="1:10" x14ac:dyDescent="0.25">
      <c r="A497">
        <v>1</v>
      </c>
      <c r="B497" t="s">
        <v>461</v>
      </c>
      <c r="C497" t="s">
        <v>21</v>
      </c>
      <c r="D497">
        <v>12</v>
      </c>
      <c r="E497" t="s">
        <v>475</v>
      </c>
      <c r="F497" t="s">
        <v>28</v>
      </c>
      <c r="G497">
        <v>3</v>
      </c>
      <c r="H497">
        <v>117</v>
      </c>
      <c r="I497">
        <v>16.3</v>
      </c>
      <c r="J497" t="s">
        <v>523</v>
      </c>
    </row>
    <row r="498" spans="1:10" x14ac:dyDescent="0.25">
      <c r="A498">
        <v>1</v>
      </c>
      <c r="B498" t="s">
        <v>461</v>
      </c>
      <c r="C498" t="s">
        <v>21</v>
      </c>
      <c r="D498">
        <v>13</v>
      </c>
      <c r="E498" t="s">
        <v>481</v>
      </c>
      <c r="F498" t="s">
        <v>17</v>
      </c>
      <c r="G498">
        <v>12</v>
      </c>
      <c r="H498">
        <v>375</v>
      </c>
      <c r="I498">
        <v>20.399999999999999</v>
      </c>
      <c r="J498" t="s">
        <v>523</v>
      </c>
    </row>
    <row r="499" spans="1:10" x14ac:dyDescent="0.25">
      <c r="A499">
        <v>1</v>
      </c>
      <c r="B499" t="s">
        <v>461</v>
      </c>
      <c r="C499" t="s">
        <v>21</v>
      </c>
      <c r="D499">
        <v>14</v>
      </c>
      <c r="E499" t="s">
        <v>482</v>
      </c>
      <c r="F499" t="s">
        <v>14</v>
      </c>
      <c r="G499">
        <v>3</v>
      </c>
      <c r="H499">
        <v>433</v>
      </c>
      <c r="I499">
        <v>4.4000000000000004</v>
      </c>
      <c r="J499" t="s">
        <v>523</v>
      </c>
    </row>
    <row r="500" spans="1:10" x14ac:dyDescent="0.25">
      <c r="A500">
        <v>1</v>
      </c>
      <c r="B500" t="s">
        <v>461</v>
      </c>
      <c r="C500" t="s">
        <v>21</v>
      </c>
      <c r="D500">
        <v>15</v>
      </c>
      <c r="E500" t="s">
        <v>471</v>
      </c>
      <c r="F500" t="s">
        <v>23</v>
      </c>
      <c r="G500">
        <v>2</v>
      </c>
      <c r="H500">
        <v>371</v>
      </c>
      <c r="I500">
        <v>3.4</v>
      </c>
      <c r="J500" t="s">
        <v>523</v>
      </c>
    </row>
    <row r="501" spans="1:10" x14ac:dyDescent="0.25">
      <c r="A501">
        <v>1</v>
      </c>
      <c r="B501" t="s">
        <v>461</v>
      </c>
      <c r="C501" t="s">
        <v>21</v>
      </c>
      <c r="D501">
        <v>16</v>
      </c>
      <c r="E501" t="s">
        <v>513</v>
      </c>
      <c r="F501" t="s">
        <v>14</v>
      </c>
      <c r="G501">
        <v>8</v>
      </c>
      <c r="H501">
        <v>244</v>
      </c>
      <c r="I501">
        <v>20.9</v>
      </c>
      <c r="J501" t="s">
        <v>523</v>
      </c>
    </row>
    <row r="502" spans="1:10" x14ac:dyDescent="0.25">
      <c r="A502">
        <v>1</v>
      </c>
      <c r="B502" t="s">
        <v>461</v>
      </c>
      <c r="C502" t="s">
        <v>21</v>
      </c>
      <c r="D502">
        <v>17</v>
      </c>
      <c r="E502" t="s">
        <v>531</v>
      </c>
      <c r="F502" t="s">
        <v>25</v>
      </c>
      <c r="G502">
        <v>7</v>
      </c>
      <c r="H502">
        <v>491</v>
      </c>
      <c r="I502">
        <v>9.1</v>
      </c>
      <c r="J502" t="s">
        <v>523</v>
      </c>
    </row>
    <row r="503" spans="1:10" x14ac:dyDescent="0.25">
      <c r="A503">
        <v>1</v>
      </c>
      <c r="B503" t="s">
        <v>461</v>
      </c>
      <c r="C503" t="s">
        <v>21</v>
      </c>
      <c r="D503">
        <v>18</v>
      </c>
      <c r="E503" t="s">
        <v>532</v>
      </c>
      <c r="F503" t="s">
        <v>23</v>
      </c>
      <c r="G503">
        <v>11</v>
      </c>
      <c r="H503">
        <v>914</v>
      </c>
      <c r="I503">
        <v>7.7</v>
      </c>
      <c r="J503" t="s">
        <v>523</v>
      </c>
    </row>
    <row r="504" spans="1:10" x14ac:dyDescent="0.25">
      <c r="A504">
        <v>1</v>
      </c>
      <c r="B504" t="s">
        <v>461</v>
      </c>
      <c r="C504" t="s">
        <v>21</v>
      </c>
      <c r="D504">
        <v>19</v>
      </c>
      <c r="E504" t="s">
        <v>522</v>
      </c>
      <c r="F504" t="s">
        <v>25</v>
      </c>
      <c r="G504">
        <v>25</v>
      </c>
      <c r="H504">
        <v>1536</v>
      </c>
      <c r="I504">
        <v>10.4</v>
      </c>
      <c r="J504" t="s">
        <v>523</v>
      </c>
    </row>
    <row r="505" spans="1:10" x14ac:dyDescent="0.25">
      <c r="A505">
        <v>1</v>
      </c>
      <c r="B505" t="s">
        <v>461</v>
      </c>
      <c r="C505" t="s">
        <v>21</v>
      </c>
      <c r="D505">
        <v>21</v>
      </c>
      <c r="E505" t="s">
        <v>476</v>
      </c>
      <c r="F505" t="s">
        <v>28</v>
      </c>
      <c r="G505">
        <v>21</v>
      </c>
      <c r="H505">
        <v>796</v>
      </c>
      <c r="I505">
        <v>16.8</v>
      </c>
      <c r="J505" t="s">
        <v>523</v>
      </c>
    </row>
    <row r="506" spans="1:10" x14ac:dyDescent="0.25">
      <c r="A506">
        <v>1</v>
      </c>
      <c r="B506" t="s">
        <v>461</v>
      </c>
      <c r="C506" t="s">
        <v>21</v>
      </c>
      <c r="D506">
        <v>22</v>
      </c>
      <c r="E506" t="s">
        <v>536</v>
      </c>
      <c r="F506" t="s">
        <v>14</v>
      </c>
      <c r="G506">
        <v>2</v>
      </c>
      <c r="H506">
        <v>87</v>
      </c>
      <c r="I506">
        <v>14.6</v>
      </c>
      <c r="J506" t="s">
        <v>523</v>
      </c>
    </row>
    <row r="507" spans="1:10" x14ac:dyDescent="0.25">
      <c r="A507">
        <v>1</v>
      </c>
      <c r="B507" t="s">
        <v>461</v>
      </c>
      <c r="C507" t="s">
        <v>21</v>
      </c>
      <c r="D507">
        <v>23</v>
      </c>
      <c r="E507" t="s">
        <v>506</v>
      </c>
      <c r="F507" t="s">
        <v>23</v>
      </c>
      <c r="G507">
        <v>1</v>
      </c>
      <c r="H507">
        <v>229</v>
      </c>
      <c r="I507">
        <v>2.8</v>
      </c>
      <c r="J507" t="s">
        <v>523</v>
      </c>
    </row>
    <row r="508" spans="1:10" x14ac:dyDescent="0.25">
      <c r="A508">
        <v>1</v>
      </c>
      <c r="B508" t="s">
        <v>461</v>
      </c>
      <c r="C508" t="s">
        <v>21</v>
      </c>
      <c r="D508">
        <v>24</v>
      </c>
      <c r="E508" t="s">
        <v>524</v>
      </c>
      <c r="F508" t="s">
        <v>28</v>
      </c>
      <c r="G508">
        <v>9</v>
      </c>
      <c r="H508">
        <v>524</v>
      </c>
      <c r="I508">
        <v>10.9</v>
      </c>
      <c r="J508" t="s">
        <v>523</v>
      </c>
    </row>
    <row r="509" spans="1:10" x14ac:dyDescent="0.25">
      <c r="A509">
        <v>1</v>
      </c>
      <c r="B509" t="s">
        <v>461</v>
      </c>
      <c r="C509" t="s">
        <v>21</v>
      </c>
      <c r="D509">
        <v>25</v>
      </c>
      <c r="E509" t="s">
        <v>525</v>
      </c>
      <c r="F509" t="s">
        <v>25</v>
      </c>
      <c r="G509">
        <v>54</v>
      </c>
      <c r="H509">
        <v>1771</v>
      </c>
      <c r="I509">
        <v>19.399999999999999</v>
      </c>
      <c r="J509" t="s">
        <v>523</v>
      </c>
    </row>
    <row r="510" spans="1:10" x14ac:dyDescent="0.25">
      <c r="A510">
        <v>31</v>
      </c>
      <c r="B510" t="s">
        <v>542</v>
      </c>
      <c r="C510" t="s">
        <v>15</v>
      </c>
      <c r="D510">
        <v>27</v>
      </c>
      <c r="E510" t="s">
        <v>526</v>
      </c>
      <c r="F510" t="s">
        <v>25</v>
      </c>
      <c r="G510">
        <v>27</v>
      </c>
      <c r="H510">
        <v>889</v>
      </c>
      <c r="I510">
        <v>19.3</v>
      </c>
      <c r="J510" t="s">
        <v>523</v>
      </c>
    </row>
    <row r="511" spans="1:10" x14ac:dyDescent="0.25">
      <c r="A511">
        <v>31</v>
      </c>
      <c r="B511" t="s">
        <v>542</v>
      </c>
      <c r="C511" t="s">
        <v>15</v>
      </c>
      <c r="D511">
        <v>30</v>
      </c>
      <c r="E511" t="s">
        <v>530</v>
      </c>
      <c r="F511" t="s">
        <v>14</v>
      </c>
      <c r="G511">
        <v>66</v>
      </c>
      <c r="H511">
        <v>1265</v>
      </c>
      <c r="I511">
        <v>33.200000000000003</v>
      </c>
      <c r="J511" t="s">
        <v>523</v>
      </c>
    </row>
    <row r="512" spans="1:10" x14ac:dyDescent="0.25">
      <c r="A512">
        <v>31</v>
      </c>
      <c r="B512" t="s">
        <v>542</v>
      </c>
      <c r="C512" t="s">
        <v>15</v>
      </c>
      <c r="D512">
        <v>31</v>
      </c>
      <c r="E512" t="s">
        <v>496</v>
      </c>
      <c r="F512" t="s">
        <v>28</v>
      </c>
      <c r="G512">
        <v>39</v>
      </c>
      <c r="H512">
        <v>3070</v>
      </c>
      <c r="I512">
        <v>8.1</v>
      </c>
      <c r="J512" t="s">
        <v>523</v>
      </c>
    </row>
    <row r="513" spans="1:10" x14ac:dyDescent="0.25">
      <c r="A513">
        <v>31</v>
      </c>
      <c r="B513" t="s">
        <v>542</v>
      </c>
      <c r="C513" t="s">
        <v>15</v>
      </c>
      <c r="D513">
        <v>32</v>
      </c>
      <c r="E513" t="s">
        <v>507</v>
      </c>
      <c r="F513" t="s">
        <v>28</v>
      </c>
      <c r="G513">
        <v>12</v>
      </c>
      <c r="H513">
        <v>337</v>
      </c>
      <c r="I513">
        <v>22.7</v>
      </c>
      <c r="J513" t="s">
        <v>523</v>
      </c>
    </row>
    <row r="514" spans="1:10" x14ac:dyDescent="0.25">
      <c r="A514">
        <v>30</v>
      </c>
      <c r="B514" t="s">
        <v>543</v>
      </c>
      <c r="C514" t="s">
        <v>15</v>
      </c>
      <c r="D514">
        <v>30</v>
      </c>
      <c r="E514" t="s">
        <v>530</v>
      </c>
      <c r="F514" t="s">
        <v>14</v>
      </c>
      <c r="G514">
        <v>21</v>
      </c>
      <c r="H514">
        <v>2433</v>
      </c>
      <c r="I514">
        <v>5.5</v>
      </c>
      <c r="J514" t="s">
        <v>523</v>
      </c>
    </row>
    <row r="515" spans="1:10" x14ac:dyDescent="0.25">
      <c r="A515">
        <v>30</v>
      </c>
      <c r="B515" t="s">
        <v>543</v>
      </c>
      <c r="C515" t="s">
        <v>15</v>
      </c>
      <c r="D515">
        <v>31</v>
      </c>
      <c r="E515" t="s">
        <v>496</v>
      </c>
      <c r="F515" t="s">
        <v>28</v>
      </c>
      <c r="G515">
        <v>20</v>
      </c>
      <c r="H515">
        <v>1191</v>
      </c>
      <c r="I515">
        <v>10.7</v>
      </c>
      <c r="J515" t="s">
        <v>523</v>
      </c>
    </row>
    <row r="516" spans="1:10" x14ac:dyDescent="0.25">
      <c r="A516">
        <v>31</v>
      </c>
      <c r="B516" t="s">
        <v>542</v>
      </c>
      <c r="C516" t="s">
        <v>15</v>
      </c>
      <c r="D516">
        <v>21</v>
      </c>
      <c r="E516" t="s">
        <v>476</v>
      </c>
      <c r="F516" t="s">
        <v>28</v>
      </c>
      <c r="G516">
        <v>6</v>
      </c>
      <c r="H516">
        <v>563</v>
      </c>
      <c r="I516">
        <v>6.8</v>
      </c>
      <c r="J516" t="s">
        <v>523</v>
      </c>
    </row>
    <row r="517" spans="1:10" x14ac:dyDescent="0.25">
      <c r="A517">
        <v>31</v>
      </c>
      <c r="B517" t="s">
        <v>542</v>
      </c>
      <c r="C517" t="s">
        <v>15</v>
      </c>
      <c r="D517">
        <v>23</v>
      </c>
      <c r="E517" t="s">
        <v>506</v>
      </c>
      <c r="F517" t="s">
        <v>23</v>
      </c>
      <c r="G517">
        <v>9</v>
      </c>
      <c r="H517">
        <v>291</v>
      </c>
      <c r="I517">
        <v>19.7</v>
      </c>
      <c r="J517" t="s">
        <v>523</v>
      </c>
    </row>
    <row r="518" spans="1:10" x14ac:dyDescent="0.25">
      <c r="A518">
        <v>31</v>
      </c>
      <c r="B518" t="s">
        <v>542</v>
      </c>
      <c r="C518" t="s">
        <v>15</v>
      </c>
      <c r="D518">
        <v>24</v>
      </c>
      <c r="E518" t="s">
        <v>524</v>
      </c>
      <c r="F518" t="s">
        <v>28</v>
      </c>
      <c r="G518">
        <v>29</v>
      </c>
      <c r="H518">
        <v>1173</v>
      </c>
      <c r="I518">
        <v>15.7</v>
      </c>
      <c r="J518" t="s">
        <v>523</v>
      </c>
    </row>
    <row r="519" spans="1:10" x14ac:dyDescent="0.25">
      <c r="A519">
        <v>31</v>
      </c>
      <c r="B519" t="s">
        <v>542</v>
      </c>
      <c r="C519" t="s">
        <v>15</v>
      </c>
      <c r="D519">
        <v>25</v>
      </c>
      <c r="E519" t="s">
        <v>525</v>
      </c>
      <c r="F519" t="s">
        <v>25</v>
      </c>
      <c r="G519">
        <v>94</v>
      </c>
      <c r="H519">
        <v>3274</v>
      </c>
      <c r="I519">
        <v>18.3</v>
      </c>
      <c r="J519" t="s">
        <v>523</v>
      </c>
    </row>
    <row r="520" spans="1:10" x14ac:dyDescent="0.25">
      <c r="A520">
        <v>30</v>
      </c>
      <c r="B520" t="s">
        <v>543</v>
      </c>
      <c r="C520" t="s">
        <v>15</v>
      </c>
      <c r="D520">
        <v>34</v>
      </c>
      <c r="E520" t="s">
        <v>467</v>
      </c>
      <c r="F520" t="s">
        <v>17</v>
      </c>
      <c r="G520">
        <v>18</v>
      </c>
      <c r="H520">
        <v>477</v>
      </c>
      <c r="I520">
        <v>24</v>
      </c>
      <c r="J520" t="s">
        <v>523</v>
      </c>
    </row>
    <row r="521" spans="1:10" x14ac:dyDescent="0.25">
      <c r="A521">
        <v>31</v>
      </c>
      <c r="B521" t="s">
        <v>542</v>
      </c>
      <c r="C521" t="s">
        <v>15</v>
      </c>
      <c r="D521">
        <v>1</v>
      </c>
      <c r="E521" t="s">
        <v>466</v>
      </c>
      <c r="F521" t="s">
        <v>23</v>
      </c>
      <c r="G521">
        <v>5</v>
      </c>
      <c r="H521">
        <v>1877</v>
      </c>
      <c r="I521">
        <v>1.7</v>
      </c>
      <c r="J521" t="s">
        <v>523</v>
      </c>
    </row>
    <row r="522" spans="1:10" x14ac:dyDescent="0.25">
      <c r="A522">
        <v>31</v>
      </c>
      <c r="B522" t="s">
        <v>542</v>
      </c>
      <c r="C522" t="s">
        <v>15</v>
      </c>
      <c r="D522">
        <v>2</v>
      </c>
      <c r="E522" t="s">
        <v>462</v>
      </c>
      <c r="F522" t="s">
        <v>23</v>
      </c>
      <c r="G522">
        <v>36</v>
      </c>
      <c r="H522">
        <v>1518</v>
      </c>
      <c r="I522">
        <v>15.1</v>
      </c>
      <c r="J522" t="s">
        <v>523</v>
      </c>
    </row>
    <row r="523" spans="1:10" x14ac:dyDescent="0.25">
      <c r="A523">
        <v>31</v>
      </c>
      <c r="B523" t="s">
        <v>542</v>
      </c>
      <c r="C523" t="s">
        <v>15</v>
      </c>
      <c r="D523">
        <v>3</v>
      </c>
      <c r="E523" t="s">
        <v>493</v>
      </c>
      <c r="F523" t="s">
        <v>25</v>
      </c>
      <c r="G523">
        <v>36</v>
      </c>
      <c r="H523">
        <v>3308</v>
      </c>
      <c r="I523">
        <v>6.9</v>
      </c>
      <c r="J523" t="s">
        <v>523</v>
      </c>
    </row>
    <row r="524" spans="1:10" x14ac:dyDescent="0.25">
      <c r="A524">
        <v>31</v>
      </c>
      <c r="B524" t="s">
        <v>542</v>
      </c>
      <c r="C524" t="s">
        <v>15</v>
      </c>
      <c r="D524">
        <v>6</v>
      </c>
      <c r="E524" t="s">
        <v>527</v>
      </c>
      <c r="F524" t="s">
        <v>17</v>
      </c>
      <c r="G524">
        <v>41</v>
      </c>
      <c r="H524">
        <v>5627</v>
      </c>
      <c r="I524">
        <v>4.5999999999999996</v>
      </c>
      <c r="J524" t="s">
        <v>523</v>
      </c>
    </row>
    <row r="525" spans="1:10" x14ac:dyDescent="0.25">
      <c r="A525">
        <v>31</v>
      </c>
      <c r="B525" t="s">
        <v>542</v>
      </c>
      <c r="C525" t="s">
        <v>15</v>
      </c>
      <c r="D525">
        <v>7</v>
      </c>
      <c r="E525" t="s">
        <v>528</v>
      </c>
      <c r="F525" t="s">
        <v>28</v>
      </c>
      <c r="G525">
        <v>18</v>
      </c>
      <c r="H525">
        <v>926</v>
      </c>
      <c r="I525">
        <v>12.4</v>
      </c>
      <c r="J525" t="s">
        <v>523</v>
      </c>
    </row>
    <row r="526" spans="1:10" x14ac:dyDescent="0.25">
      <c r="A526">
        <v>31</v>
      </c>
      <c r="B526" t="s">
        <v>542</v>
      </c>
      <c r="C526" t="s">
        <v>15</v>
      </c>
      <c r="D526">
        <v>8</v>
      </c>
      <c r="E526" t="s">
        <v>529</v>
      </c>
      <c r="F526" t="s">
        <v>14</v>
      </c>
      <c r="G526">
        <v>84</v>
      </c>
      <c r="H526">
        <v>4650</v>
      </c>
      <c r="I526">
        <v>11.5</v>
      </c>
      <c r="J526" t="s">
        <v>523</v>
      </c>
    </row>
    <row r="527" spans="1:10" x14ac:dyDescent="0.25">
      <c r="A527">
        <v>31</v>
      </c>
      <c r="B527" t="s">
        <v>542</v>
      </c>
      <c r="C527" t="s">
        <v>15</v>
      </c>
      <c r="D527">
        <v>9</v>
      </c>
      <c r="E527" t="s">
        <v>468</v>
      </c>
      <c r="F527" t="s">
        <v>23</v>
      </c>
      <c r="G527">
        <v>10</v>
      </c>
      <c r="H527">
        <v>1082</v>
      </c>
      <c r="I527">
        <v>5.9</v>
      </c>
      <c r="J527" t="s">
        <v>523</v>
      </c>
    </row>
    <row r="528" spans="1:10" x14ac:dyDescent="0.25">
      <c r="A528">
        <v>31</v>
      </c>
      <c r="B528" t="s">
        <v>542</v>
      </c>
      <c r="C528" t="s">
        <v>15</v>
      </c>
      <c r="D528">
        <v>11</v>
      </c>
      <c r="E528" t="s">
        <v>469</v>
      </c>
      <c r="F528" t="s">
        <v>25</v>
      </c>
      <c r="G528">
        <v>8</v>
      </c>
      <c r="H528">
        <v>752</v>
      </c>
      <c r="I528">
        <v>6.8</v>
      </c>
      <c r="J528" t="s">
        <v>523</v>
      </c>
    </row>
    <row r="529" spans="1:10" x14ac:dyDescent="0.25">
      <c r="A529">
        <v>31</v>
      </c>
      <c r="B529" t="s">
        <v>542</v>
      </c>
      <c r="C529" t="s">
        <v>15</v>
      </c>
      <c r="D529">
        <v>12</v>
      </c>
      <c r="E529" t="s">
        <v>475</v>
      </c>
      <c r="F529" t="s">
        <v>28</v>
      </c>
      <c r="G529">
        <v>13</v>
      </c>
      <c r="H529">
        <v>417</v>
      </c>
      <c r="I529">
        <v>19.899999999999999</v>
      </c>
      <c r="J529" t="s">
        <v>523</v>
      </c>
    </row>
    <row r="530" spans="1:10" x14ac:dyDescent="0.25">
      <c r="A530">
        <v>31</v>
      </c>
      <c r="B530" t="s">
        <v>542</v>
      </c>
      <c r="C530" t="s">
        <v>15</v>
      </c>
      <c r="D530">
        <v>13</v>
      </c>
      <c r="E530" t="s">
        <v>481</v>
      </c>
      <c r="F530" t="s">
        <v>17</v>
      </c>
      <c r="G530">
        <v>19</v>
      </c>
      <c r="H530">
        <v>1062</v>
      </c>
      <c r="I530">
        <v>11.4</v>
      </c>
      <c r="J530" t="s">
        <v>523</v>
      </c>
    </row>
    <row r="531" spans="1:10" x14ac:dyDescent="0.25">
      <c r="A531">
        <v>31</v>
      </c>
      <c r="B531" t="s">
        <v>542</v>
      </c>
      <c r="C531" t="s">
        <v>15</v>
      </c>
      <c r="D531">
        <v>14</v>
      </c>
      <c r="E531" t="s">
        <v>482</v>
      </c>
      <c r="F531" t="s">
        <v>14</v>
      </c>
      <c r="G531">
        <v>9</v>
      </c>
      <c r="H531">
        <v>3587</v>
      </c>
      <c r="I531">
        <v>1.6</v>
      </c>
      <c r="J531" t="s">
        <v>523</v>
      </c>
    </row>
    <row r="532" spans="1:10" x14ac:dyDescent="0.25">
      <c r="A532">
        <v>31</v>
      </c>
      <c r="B532" t="s">
        <v>542</v>
      </c>
      <c r="C532" t="s">
        <v>15</v>
      </c>
      <c r="D532">
        <v>15</v>
      </c>
      <c r="E532" t="s">
        <v>471</v>
      </c>
      <c r="F532" t="s">
        <v>23</v>
      </c>
      <c r="G532">
        <v>4</v>
      </c>
      <c r="H532">
        <v>794</v>
      </c>
      <c r="I532">
        <v>3.2</v>
      </c>
      <c r="J532" t="s">
        <v>523</v>
      </c>
    </row>
    <row r="533" spans="1:10" x14ac:dyDescent="0.25">
      <c r="A533">
        <v>31</v>
      </c>
      <c r="B533" t="s">
        <v>542</v>
      </c>
      <c r="C533" t="s">
        <v>15</v>
      </c>
      <c r="D533">
        <v>17</v>
      </c>
      <c r="E533" t="s">
        <v>531</v>
      </c>
      <c r="F533" t="s">
        <v>25</v>
      </c>
      <c r="G533">
        <v>19</v>
      </c>
      <c r="H533">
        <v>736</v>
      </c>
      <c r="I533">
        <v>16.399999999999999</v>
      </c>
      <c r="J533" t="s">
        <v>523</v>
      </c>
    </row>
    <row r="534" spans="1:10" x14ac:dyDescent="0.25">
      <c r="A534">
        <v>31</v>
      </c>
      <c r="B534" t="s">
        <v>542</v>
      </c>
      <c r="C534" t="s">
        <v>15</v>
      </c>
      <c r="D534">
        <v>18</v>
      </c>
      <c r="E534" t="s">
        <v>532</v>
      </c>
      <c r="F534" t="s">
        <v>23</v>
      </c>
      <c r="G534">
        <v>2</v>
      </c>
      <c r="H534">
        <v>2201</v>
      </c>
      <c r="I534">
        <v>0.6</v>
      </c>
      <c r="J534" t="s">
        <v>523</v>
      </c>
    </row>
    <row r="535" spans="1:10" x14ac:dyDescent="0.25">
      <c r="A535">
        <v>28</v>
      </c>
      <c r="B535" t="s">
        <v>498</v>
      </c>
      <c r="C535" t="s">
        <v>19</v>
      </c>
      <c r="D535">
        <v>27</v>
      </c>
      <c r="E535" t="s">
        <v>526</v>
      </c>
      <c r="F535" t="s">
        <v>25</v>
      </c>
      <c r="G535">
        <v>24</v>
      </c>
      <c r="H535">
        <v>515</v>
      </c>
      <c r="I535">
        <v>29.7</v>
      </c>
      <c r="J535" t="s">
        <v>523</v>
      </c>
    </row>
    <row r="536" spans="1:10" x14ac:dyDescent="0.25">
      <c r="A536">
        <v>28</v>
      </c>
      <c r="B536" t="s">
        <v>498</v>
      </c>
      <c r="C536" t="s">
        <v>19</v>
      </c>
      <c r="D536">
        <v>28</v>
      </c>
      <c r="E536" t="s">
        <v>477</v>
      </c>
      <c r="F536" t="s">
        <v>25</v>
      </c>
      <c r="G536">
        <v>3</v>
      </c>
      <c r="H536">
        <v>120</v>
      </c>
      <c r="I536">
        <v>15.9</v>
      </c>
      <c r="J536" t="s">
        <v>523</v>
      </c>
    </row>
    <row r="537" spans="1:10" x14ac:dyDescent="0.25">
      <c r="A537">
        <v>28</v>
      </c>
      <c r="B537" t="s">
        <v>498</v>
      </c>
      <c r="C537" t="s">
        <v>19</v>
      </c>
      <c r="D537">
        <v>29</v>
      </c>
      <c r="E537" t="s">
        <v>472</v>
      </c>
      <c r="F537" t="s">
        <v>23</v>
      </c>
      <c r="G537">
        <v>5</v>
      </c>
      <c r="H537">
        <v>133</v>
      </c>
      <c r="I537">
        <v>23.9</v>
      </c>
      <c r="J537" t="s">
        <v>523</v>
      </c>
    </row>
    <row r="538" spans="1:10" x14ac:dyDescent="0.25">
      <c r="A538">
        <v>28</v>
      </c>
      <c r="B538" t="s">
        <v>498</v>
      </c>
      <c r="C538" t="s">
        <v>19</v>
      </c>
      <c r="D538">
        <v>30</v>
      </c>
      <c r="E538" t="s">
        <v>530</v>
      </c>
      <c r="F538" t="s">
        <v>14</v>
      </c>
      <c r="G538">
        <v>27</v>
      </c>
      <c r="H538">
        <v>728</v>
      </c>
      <c r="I538">
        <v>23.6</v>
      </c>
      <c r="J538" t="s">
        <v>523</v>
      </c>
    </row>
    <row r="539" spans="1:10" x14ac:dyDescent="0.25">
      <c r="A539">
        <v>28</v>
      </c>
      <c r="B539" t="s">
        <v>498</v>
      </c>
      <c r="C539" t="s">
        <v>19</v>
      </c>
      <c r="D539">
        <v>31</v>
      </c>
      <c r="E539" t="s">
        <v>496</v>
      </c>
      <c r="F539" t="s">
        <v>28</v>
      </c>
      <c r="G539">
        <v>18</v>
      </c>
      <c r="H539">
        <v>1672</v>
      </c>
      <c r="I539">
        <v>6.9</v>
      </c>
      <c r="J539" t="s">
        <v>523</v>
      </c>
    </row>
    <row r="540" spans="1:10" x14ac:dyDescent="0.25">
      <c r="A540">
        <v>28</v>
      </c>
      <c r="B540" t="s">
        <v>498</v>
      </c>
      <c r="C540" t="s">
        <v>19</v>
      </c>
      <c r="D540">
        <v>32</v>
      </c>
      <c r="E540" t="s">
        <v>507</v>
      </c>
      <c r="F540" t="s">
        <v>28</v>
      </c>
      <c r="G540">
        <v>3</v>
      </c>
      <c r="H540">
        <v>82</v>
      </c>
      <c r="I540">
        <v>23.3</v>
      </c>
      <c r="J540" t="s">
        <v>523</v>
      </c>
    </row>
    <row r="541" spans="1:10" x14ac:dyDescent="0.25">
      <c r="A541">
        <v>29</v>
      </c>
      <c r="B541" t="s">
        <v>521</v>
      </c>
      <c r="C541" t="s">
        <v>26</v>
      </c>
      <c r="D541">
        <v>18</v>
      </c>
      <c r="E541" t="s">
        <v>532</v>
      </c>
      <c r="F541" t="s">
        <v>23</v>
      </c>
      <c r="G541">
        <v>26</v>
      </c>
      <c r="H541">
        <v>972</v>
      </c>
      <c r="I541">
        <v>17</v>
      </c>
      <c r="J541" t="s">
        <v>523</v>
      </c>
    </row>
    <row r="542" spans="1:10" x14ac:dyDescent="0.25">
      <c r="A542">
        <v>29</v>
      </c>
      <c r="B542" t="s">
        <v>521</v>
      </c>
      <c r="C542" t="s">
        <v>26</v>
      </c>
      <c r="D542">
        <v>19</v>
      </c>
      <c r="E542" t="s">
        <v>522</v>
      </c>
      <c r="F542" t="s">
        <v>25</v>
      </c>
      <c r="G542">
        <v>12</v>
      </c>
      <c r="H542">
        <v>1004</v>
      </c>
      <c r="I542">
        <v>7.6</v>
      </c>
      <c r="J542" t="s">
        <v>523</v>
      </c>
    </row>
    <row r="543" spans="1:10" x14ac:dyDescent="0.25">
      <c r="A543">
        <v>29</v>
      </c>
      <c r="B543" t="s">
        <v>521</v>
      </c>
      <c r="C543" t="s">
        <v>26</v>
      </c>
      <c r="D543">
        <v>21</v>
      </c>
      <c r="E543" t="s">
        <v>476</v>
      </c>
      <c r="F543" t="s">
        <v>28</v>
      </c>
      <c r="G543">
        <v>10</v>
      </c>
      <c r="H543">
        <v>333</v>
      </c>
      <c r="I543">
        <v>19.100000000000001</v>
      </c>
      <c r="J543" t="s">
        <v>523</v>
      </c>
    </row>
    <row r="544" spans="1:10" x14ac:dyDescent="0.25">
      <c r="A544">
        <v>29</v>
      </c>
      <c r="B544" t="s">
        <v>521</v>
      </c>
      <c r="C544" t="s">
        <v>26</v>
      </c>
      <c r="D544">
        <v>24</v>
      </c>
      <c r="E544" t="s">
        <v>524</v>
      </c>
      <c r="F544" t="s">
        <v>28</v>
      </c>
      <c r="G544">
        <v>14</v>
      </c>
      <c r="H544">
        <v>769</v>
      </c>
      <c r="I544">
        <v>11.6</v>
      </c>
      <c r="J544" t="s">
        <v>523</v>
      </c>
    </row>
    <row r="545" spans="1:10" x14ac:dyDescent="0.25">
      <c r="A545">
        <v>29</v>
      </c>
      <c r="B545" t="s">
        <v>521</v>
      </c>
      <c r="C545" t="s">
        <v>26</v>
      </c>
      <c r="D545">
        <v>25</v>
      </c>
      <c r="E545" t="s">
        <v>525</v>
      </c>
      <c r="F545" t="s">
        <v>25</v>
      </c>
      <c r="G545">
        <v>47</v>
      </c>
      <c r="H545">
        <v>993</v>
      </c>
      <c r="I545">
        <v>30.2</v>
      </c>
      <c r="J545" t="s">
        <v>523</v>
      </c>
    </row>
    <row r="546" spans="1:10" x14ac:dyDescent="0.25">
      <c r="A546">
        <v>29</v>
      </c>
      <c r="B546" t="s">
        <v>521</v>
      </c>
      <c r="C546" t="s">
        <v>26</v>
      </c>
      <c r="D546">
        <v>26</v>
      </c>
      <c r="E546" t="s">
        <v>519</v>
      </c>
      <c r="F546" t="s">
        <v>25</v>
      </c>
      <c r="G546">
        <v>2</v>
      </c>
      <c r="H546">
        <v>67</v>
      </c>
      <c r="I546">
        <v>19</v>
      </c>
      <c r="J546" t="s">
        <v>523</v>
      </c>
    </row>
    <row r="547" spans="1:10" x14ac:dyDescent="0.25">
      <c r="A547">
        <v>29</v>
      </c>
      <c r="B547" t="s">
        <v>521</v>
      </c>
      <c r="C547" t="s">
        <v>26</v>
      </c>
      <c r="D547">
        <v>28</v>
      </c>
      <c r="E547" t="s">
        <v>477</v>
      </c>
      <c r="F547" t="s">
        <v>25</v>
      </c>
      <c r="G547">
        <v>1</v>
      </c>
      <c r="H547">
        <v>26</v>
      </c>
      <c r="I547">
        <v>24.5</v>
      </c>
      <c r="J547" t="s">
        <v>523</v>
      </c>
    </row>
    <row r="548" spans="1:10" x14ac:dyDescent="0.25">
      <c r="A548">
        <v>29</v>
      </c>
      <c r="B548" t="s">
        <v>521</v>
      </c>
      <c r="C548" t="s">
        <v>26</v>
      </c>
      <c r="D548">
        <v>30</v>
      </c>
      <c r="E548" t="s">
        <v>530</v>
      </c>
      <c r="F548" t="s">
        <v>14</v>
      </c>
      <c r="G548">
        <v>32</v>
      </c>
      <c r="H548">
        <v>820</v>
      </c>
      <c r="I548">
        <v>24.9</v>
      </c>
      <c r="J548" t="s">
        <v>523</v>
      </c>
    </row>
    <row r="549" spans="1:10" x14ac:dyDescent="0.25">
      <c r="A549">
        <v>29</v>
      </c>
      <c r="B549" t="s">
        <v>521</v>
      </c>
      <c r="C549" t="s">
        <v>26</v>
      </c>
      <c r="D549">
        <v>31</v>
      </c>
      <c r="E549" t="s">
        <v>496</v>
      </c>
      <c r="F549" t="s">
        <v>28</v>
      </c>
      <c r="G549">
        <v>3</v>
      </c>
      <c r="H549">
        <v>833</v>
      </c>
      <c r="I549">
        <v>2.2999999999999998</v>
      </c>
      <c r="J549" t="s">
        <v>523</v>
      </c>
    </row>
    <row r="550" spans="1:10" x14ac:dyDescent="0.25">
      <c r="A550">
        <v>29</v>
      </c>
      <c r="B550" t="s">
        <v>521</v>
      </c>
      <c r="C550" t="s">
        <v>26</v>
      </c>
      <c r="D550">
        <v>32</v>
      </c>
      <c r="E550" t="s">
        <v>507</v>
      </c>
      <c r="F550" t="s">
        <v>28</v>
      </c>
      <c r="G550">
        <v>7</v>
      </c>
      <c r="H550">
        <v>374</v>
      </c>
      <c r="I550">
        <v>11.9</v>
      </c>
      <c r="J550" t="s">
        <v>523</v>
      </c>
    </row>
    <row r="551" spans="1:10" x14ac:dyDescent="0.25">
      <c r="A551">
        <v>30</v>
      </c>
      <c r="B551" t="s">
        <v>543</v>
      </c>
      <c r="C551" t="s">
        <v>15</v>
      </c>
      <c r="D551">
        <v>9</v>
      </c>
      <c r="E551" t="s">
        <v>468</v>
      </c>
      <c r="F551" t="s">
        <v>23</v>
      </c>
      <c r="G551">
        <v>59</v>
      </c>
      <c r="H551">
        <v>1303</v>
      </c>
      <c r="I551">
        <v>28.8</v>
      </c>
      <c r="J551" t="s">
        <v>523</v>
      </c>
    </row>
    <row r="552" spans="1:10" x14ac:dyDescent="0.25">
      <c r="A552">
        <v>30</v>
      </c>
      <c r="B552" t="s">
        <v>543</v>
      </c>
      <c r="C552" t="s">
        <v>15</v>
      </c>
      <c r="D552">
        <v>10</v>
      </c>
      <c r="E552" t="s">
        <v>534</v>
      </c>
      <c r="F552" t="s">
        <v>23</v>
      </c>
      <c r="G552">
        <v>55</v>
      </c>
      <c r="H552">
        <v>1327</v>
      </c>
      <c r="I552">
        <v>26.4</v>
      </c>
      <c r="J552" t="s">
        <v>523</v>
      </c>
    </row>
    <row r="553" spans="1:10" x14ac:dyDescent="0.25">
      <c r="A553">
        <v>30</v>
      </c>
      <c r="B553" t="s">
        <v>543</v>
      </c>
      <c r="C553" t="s">
        <v>15</v>
      </c>
      <c r="D553">
        <v>11</v>
      </c>
      <c r="E553" t="s">
        <v>469</v>
      </c>
      <c r="F553" t="s">
        <v>25</v>
      </c>
      <c r="G553">
        <v>3</v>
      </c>
      <c r="H553">
        <v>432</v>
      </c>
      <c r="I553">
        <v>4.4000000000000004</v>
      </c>
      <c r="J553" t="s">
        <v>523</v>
      </c>
    </row>
    <row r="554" spans="1:10" x14ac:dyDescent="0.25">
      <c r="A554">
        <v>30</v>
      </c>
      <c r="B554" t="s">
        <v>543</v>
      </c>
      <c r="C554" t="s">
        <v>15</v>
      </c>
      <c r="D554">
        <v>12</v>
      </c>
      <c r="E554" t="s">
        <v>475</v>
      </c>
      <c r="F554" t="s">
        <v>28</v>
      </c>
      <c r="G554">
        <v>8</v>
      </c>
      <c r="H554">
        <v>300</v>
      </c>
      <c r="I554">
        <v>17</v>
      </c>
      <c r="J554" t="s">
        <v>523</v>
      </c>
    </row>
    <row r="555" spans="1:10" x14ac:dyDescent="0.25">
      <c r="A555">
        <v>30</v>
      </c>
      <c r="B555" t="s">
        <v>543</v>
      </c>
      <c r="C555" t="s">
        <v>15</v>
      </c>
      <c r="D555">
        <v>13</v>
      </c>
      <c r="E555" t="s">
        <v>481</v>
      </c>
      <c r="F555" t="s">
        <v>17</v>
      </c>
      <c r="G555">
        <v>18</v>
      </c>
      <c r="H555">
        <v>502</v>
      </c>
      <c r="I555">
        <v>22.8</v>
      </c>
      <c r="J555" t="s">
        <v>523</v>
      </c>
    </row>
    <row r="556" spans="1:10" x14ac:dyDescent="0.25">
      <c r="A556">
        <v>30</v>
      </c>
      <c r="B556" t="s">
        <v>543</v>
      </c>
      <c r="C556" t="s">
        <v>15</v>
      </c>
      <c r="D556">
        <v>14</v>
      </c>
      <c r="E556" t="s">
        <v>482</v>
      </c>
      <c r="F556" t="s">
        <v>14</v>
      </c>
      <c r="G556">
        <v>10</v>
      </c>
      <c r="H556">
        <v>986</v>
      </c>
      <c r="I556">
        <v>6.5</v>
      </c>
      <c r="J556" t="s">
        <v>523</v>
      </c>
    </row>
    <row r="557" spans="1:10" x14ac:dyDescent="0.25">
      <c r="A557">
        <v>30</v>
      </c>
      <c r="B557" t="s">
        <v>543</v>
      </c>
      <c r="C557" t="s">
        <v>15</v>
      </c>
      <c r="D557">
        <v>15</v>
      </c>
      <c r="E557" t="s">
        <v>471</v>
      </c>
      <c r="F557" t="s">
        <v>23</v>
      </c>
      <c r="G557">
        <v>9</v>
      </c>
      <c r="H557">
        <v>836</v>
      </c>
      <c r="I557">
        <v>6.9</v>
      </c>
      <c r="J557" t="s">
        <v>523</v>
      </c>
    </row>
    <row r="558" spans="1:10" x14ac:dyDescent="0.25">
      <c r="A558">
        <v>30</v>
      </c>
      <c r="B558" t="s">
        <v>543</v>
      </c>
      <c r="C558" t="s">
        <v>15</v>
      </c>
      <c r="D558">
        <v>17</v>
      </c>
      <c r="E558" t="s">
        <v>531</v>
      </c>
      <c r="F558" t="s">
        <v>25</v>
      </c>
      <c r="G558">
        <v>13</v>
      </c>
      <c r="H558">
        <v>984</v>
      </c>
      <c r="I558">
        <v>8.4</v>
      </c>
      <c r="J558" t="s">
        <v>523</v>
      </c>
    </row>
    <row r="559" spans="1:10" x14ac:dyDescent="0.25">
      <c r="A559">
        <v>30</v>
      </c>
      <c r="B559" t="s">
        <v>543</v>
      </c>
      <c r="C559" t="s">
        <v>15</v>
      </c>
      <c r="D559">
        <v>18</v>
      </c>
      <c r="E559" t="s">
        <v>532</v>
      </c>
      <c r="F559" t="s">
        <v>23</v>
      </c>
      <c r="G559">
        <v>9</v>
      </c>
      <c r="H559">
        <v>1716</v>
      </c>
      <c r="I559">
        <v>3.3</v>
      </c>
      <c r="J559" t="s">
        <v>523</v>
      </c>
    </row>
    <row r="560" spans="1:10" x14ac:dyDescent="0.25">
      <c r="A560">
        <v>30</v>
      </c>
      <c r="B560" t="s">
        <v>543</v>
      </c>
      <c r="C560" t="s">
        <v>15</v>
      </c>
      <c r="D560">
        <v>19</v>
      </c>
      <c r="E560" t="s">
        <v>522</v>
      </c>
      <c r="F560" t="s">
        <v>25</v>
      </c>
      <c r="G560">
        <v>19</v>
      </c>
      <c r="H560">
        <v>1257</v>
      </c>
      <c r="I560">
        <v>9.6</v>
      </c>
      <c r="J560" t="s">
        <v>523</v>
      </c>
    </row>
    <row r="561" spans="1:10" x14ac:dyDescent="0.25">
      <c r="A561">
        <v>30</v>
      </c>
      <c r="B561" t="s">
        <v>543</v>
      </c>
      <c r="C561" t="s">
        <v>15</v>
      </c>
      <c r="D561">
        <v>1</v>
      </c>
      <c r="E561" t="s">
        <v>466</v>
      </c>
      <c r="F561" t="s">
        <v>23</v>
      </c>
      <c r="G561">
        <v>15</v>
      </c>
      <c r="H561">
        <v>1651</v>
      </c>
      <c r="I561">
        <v>5.8</v>
      </c>
      <c r="J561" t="s">
        <v>523</v>
      </c>
    </row>
    <row r="562" spans="1:10" x14ac:dyDescent="0.25">
      <c r="A562">
        <v>30</v>
      </c>
      <c r="B562" t="s">
        <v>543</v>
      </c>
      <c r="C562" t="s">
        <v>15</v>
      </c>
      <c r="D562">
        <v>2</v>
      </c>
      <c r="E562" t="s">
        <v>462</v>
      </c>
      <c r="F562" t="s">
        <v>23</v>
      </c>
      <c r="G562">
        <v>30</v>
      </c>
      <c r="H562">
        <v>1281</v>
      </c>
      <c r="I562">
        <v>14.9</v>
      </c>
      <c r="J562" t="s">
        <v>523</v>
      </c>
    </row>
    <row r="563" spans="1:10" x14ac:dyDescent="0.25">
      <c r="A563">
        <v>30</v>
      </c>
      <c r="B563" t="s">
        <v>543</v>
      </c>
      <c r="C563" t="s">
        <v>15</v>
      </c>
      <c r="D563">
        <v>3</v>
      </c>
      <c r="E563" t="s">
        <v>493</v>
      </c>
      <c r="F563" t="s">
        <v>25</v>
      </c>
      <c r="G563">
        <v>10</v>
      </c>
      <c r="H563">
        <v>2171</v>
      </c>
      <c r="I563">
        <v>2.9</v>
      </c>
      <c r="J563" t="s">
        <v>523</v>
      </c>
    </row>
    <row r="564" spans="1:10" x14ac:dyDescent="0.25">
      <c r="A564">
        <v>30</v>
      </c>
      <c r="B564" t="s">
        <v>543</v>
      </c>
      <c r="C564" t="s">
        <v>15</v>
      </c>
      <c r="D564">
        <v>6</v>
      </c>
      <c r="E564" t="s">
        <v>527</v>
      </c>
      <c r="F564" t="s">
        <v>17</v>
      </c>
      <c r="G564">
        <v>18</v>
      </c>
      <c r="H564">
        <v>3809</v>
      </c>
      <c r="I564">
        <v>3</v>
      </c>
      <c r="J564" t="s">
        <v>523</v>
      </c>
    </row>
    <row r="565" spans="1:10" x14ac:dyDescent="0.25">
      <c r="A565">
        <v>30</v>
      </c>
      <c r="B565" t="s">
        <v>543</v>
      </c>
      <c r="C565" t="s">
        <v>15</v>
      </c>
      <c r="D565">
        <v>7</v>
      </c>
      <c r="E565" t="s">
        <v>528</v>
      </c>
      <c r="F565" t="s">
        <v>28</v>
      </c>
      <c r="G565">
        <v>13</v>
      </c>
      <c r="H565">
        <v>1221</v>
      </c>
      <c r="I565">
        <v>6.8</v>
      </c>
      <c r="J565" t="s">
        <v>523</v>
      </c>
    </row>
    <row r="566" spans="1:10" x14ac:dyDescent="0.25">
      <c r="A566">
        <v>30</v>
      </c>
      <c r="B566" t="s">
        <v>543</v>
      </c>
      <c r="C566" t="s">
        <v>15</v>
      </c>
      <c r="D566">
        <v>23</v>
      </c>
      <c r="E566" t="s">
        <v>506</v>
      </c>
      <c r="F566" t="s">
        <v>23</v>
      </c>
      <c r="G566">
        <v>12</v>
      </c>
      <c r="H566">
        <v>222</v>
      </c>
      <c r="I566">
        <v>34.4</v>
      </c>
      <c r="J566" t="s">
        <v>523</v>
      </c>
    </row>
    <row r="567" spans="1:10" x14ac:dyDescent="0.25">
      <c r="A567">
        <v>30</v>
      </c>
      <c r="B567" t="s">
        <v>543</v>
      </c>
      <c r="C567" t="s">
        <v>15</v>
      </c>
      <c r="D567">
        <v>24</v>
      </c>
      <c r="E567" t="s">
        <v>524</v>
      </c>
      <c r="F567" t="s">
        <v>28</v>
      </c>
      <c r="G567">
        <v>23</v>
      </c>
      <c r="H567">
        <v>1152</v>
      </c>
      <c r="I567">
        <v>12.7</v>
      </c>
      <c r="J567" t="s">
        <v>523</v>
      </c>
    </row>
    <row r="568" spans="1:10" x14ac:dyDescent="0.25">
      <c r="A568">
        <v>30</v>
      </c>
      <c r="B568" t="s">
        <v>543</v>
      </c>
      <c r="C568" t="s">
        <v>15</v>
      </c>
      <c r="D568">
        <v>25</v>
      </c>
      <c r="E568" t="s">
        <v>525</v>
      </c>
      <c r="F568" t="s">
        <v>25</v>
      </c>
      <c r="G568">
        <v>6</v>
      </c>
      <c r="H568">
        <v>3155</v>
      </c>
      <c r="I568">
        <v>1.2</v>
      </c>
      <c r="J568" t="s">
        <v>523</v>
      </c>
    </row>
    <row r="569" spans="1:10" x14ac:dyDescent="0.25">
      <c r="A569">
        <v>30</v>
      </c>
      <c r="B569" t="s">
        <v>543</v>
      </c>
      <c r="C569" t="s">
        <v>15</v>
      </c>
      <c r="D569">
        <v>26</v>
      </c>
      <c r="E569" t="s">
        <v>519</v>
      </c>
      <c r="F569" t="s">
        <v>25</v>
      </c>
      <c r="G569">
        <v>13</v>
      </c>
      <c r="H569">
        <v>327</v>
      </c>
      <c r="I569">
        <v>25.3</v>
      </c>
      <c r="J569" t="s">
        <v>523</v>
      </c>
    </row>
    <row r="570" spans="1:10" x14ac:dyDescent="0.25">
      <c r="A570">
        <v>30</v>
      </c>
      <c r="B570" t="s">
        <v>543</v>
      </c>
      <c r="C570" t="s">
        <v>15</v>
      </c>
      <c r="D570">
        <v>27</v>
      </c>
      <c r="E570" t="s">
        <v>526</v>
      </c>
      <c r="F570" t="s">
        <v>25</v>
      </c>
      <c r="G570">
        <v>29</v>
      </c>
      <c r="H570">
        <v>1178</v>
      </c>
      <c r="I570">
        <v>15.7</v>
      </c>
      <c r="J570" t="s">
        <v>523</v>
      </c>
    </row>
    <row r="571" spans="1:10" x14ac:dyDescent="0.25">
      <c r="A571">
        <v>27</v>
      </c>
      <c r="B571" t="s">
        <v>497</v>
      </c>
      <c r="C571" t="s">
        <v>19</v>
      </c>
      <c r="D571">
        <v>27</v>
      </c>
      <c r="E571" t="s">
        <v>526</v>
      </c>
      <c r="F571" t="s">
        <v>25</v>
      </c>
      <c r="G571">
        <v>11</v>
      </c>
      <c r="H571">
        <v>265</v>
      </c>
      <c r="I571">
        <v>26.4</v>
      </c>
      <c r="J571" t="s">
        <v>523</v>
      </c>
    </row>
    <row r="572" spans="1:10" x14ac:dyDescent="0.25">
      <c r="A572">
        <v>27</v>
      </c>
      <c r="B572" t="s">
        <v>497</v>
      </c>
      <c r="C572" t="s">
        <v>19</v>
      </c>
      <c r="D572">
        <v>28</v>
      </c>
      <c r="E572" t="s">
        <v>477</v>
      </c>
      <c r="F572" t="s">
        <v>25</v>
      </c>
      <c r="G572">
        <v>8</v>
      </c>
      <c r="H572">
        <v>223</v>
      </c>
      <c r="I572">
        <v>22.9</v>
      </c>
      <c r="J572" t="s">
        <v>523</v>
      </c>
    </row>
    <row r="573" spans="1:10" x14ac:dyDescent="0.25">
      <c r="A573">
        <v>27</v>
      </c>
      <c r="B573" t="s">
        <v>497</v>
      </c>
      <c r="C573" t="s">
        <v>19</v>
      </c>
      <c r="D573">
        <v>30</v>
      </c>
      <c r="E573" t="s">
        <v>530</v>
      </c>
      <c r="F573" t="s">
        <v>14</v>
      </c>
      <c r="G573">
        <v>37</v>
      </c>
      <c r="H573">
        <v>970</v>
      </c>
      <c r="I573">
        <v>24.3</v>
      </c>
      <c r="J573" t="s">
        <v>523</v>
      </c>
    </row>
    <row r="574" spans="1:10" x14ac:dyDescent="0.25">
      <c r="A574">
        <v>27</v>
      </c>
      <c r="B574" t="s">
        <v>497</v>
      </c>
      <c r="C574" t="s">
        <v>19</v>
      </c>
      <c r="D574">
        <v>31</v>
      </c>
      <c r="E574" t="s">
        <v>496</v>
      </c>
      <c r="F574" t="s">
        <v>28</v>
      </c>
      <c r="G574">
        <v>13</v>
      </c>
      <c r="H574">
        <v>956</v>
      </c>
      <c r="I574">
        <v>8.6999999999999993</v>
      </c>
      <c r="J574" t="s">
        <v>523</v>
      </c>
    </row>
    <row r="575" spans="1:10" x14ac:dyDescent="0.25">
      <c r="A575">
        <v>28</v>
      </c>
      <c r="B575" t="s">
        <v>498</v>
      </c>
      <c r="C575" t="s">
        <v>19</v>
      </c>
      <c r="D575">
        <v>3</v>
      </c>
      <c r="E575" t="s">
        <v>493</v>
      </c>
      <c r="F575" t="s">
        <v>25</v>
      </c>
      <c r="G575">
        <v>60</v>
      </c>
      <c r="H575">
        <v>3398</v>
      </c>
      <c r="I575">
        <v>11.2</v>
      </c>
      <c r="J575" t="s">
        <v>523</v>
      </c>
    </row>
    <row r="576" spans="1:10" x14ac:dyDescent="0.25">
      <c r="A576">
        <v>28</v>
      </c>
      <c r="B576" t="s">
        <v>498</v>
      </c>
      <c r="C576" t="s">
        <v>19</v>
      </c>
      <c r="D576">
        <v>6</v>
      </c>
      <c r="E576" t="s">
        <v>527</v>
      </c>
      <c r="F576" t="s">
        <v>17</v>
      </c>
      <c r="G576">
        <v>16</v>
      </c>
      <c r="H576">
        <v>883</v>
      </c>
      <c r="I576">
        <v>11.5</v>
      </c>
      <c r="J576" t="s">
        <v>523</v>
      </c>
    </row>
    <row r="577" spans="1:10" x14ac:dyDescent="0.25">
      <c r="A577">
        <v>28</v>
      </c>
      <c r="B577" t="s">
        <v>498</v>
      </c>
      <c r="C577" t="s">
        <v>19</v>
      </c>
      <c r="D577">
        <v>7</v>
      </c>
      <c r="E577" t="s">
        <v>528</v>
      </c>
      <c r="F577" t="s">
        <v>28</v>
      </c>
      <c r="G577">
        <v>10</v>
      </c>
      <c r="H577">
        <v>584</v>
      </c>
      <c r="I577">
        <v>10.9</v>
      </c>
      <c r="J577" t="s">
        <v>523</v>
      </c>
    </row>
    <row r="578" spans="1:10" x14ac:dyDescent="0.25">
      <c r="A578">
        <v>28</v>
      </c>
      <c r="B578" t="s">
        <v>498</v>
      </c>
      <c r="C578" t="s">
        <v>19</v>
      </c>
      <c r="D578">
        <v>8</v>
      </c>
      <c r="E578" t="s">
        <v>529</v>
      </c>
      <c r="F578" t="s">
        <v>14</v>
      </c>
      <c r="G578">
        <v>45</v>
      </c>
      <c r="H578">
        <v>1269</v>
      </c>
      <c r="I578">
        <v>22.6</v>
      </c>
      <c r="J578" t="s">
        <v>523</v>
      </c>
    </row>
    <row r="579" spans="1:10" x14ac:dyDescent="0.25">
      <c r="A579">
        <v>28</v>
      </c>
      <c r="B579" t="s">
        <v>498</v>
      </c>
      <c r="C579" t="s">
        <v>19</v>
      </c>
      <c r="D579">
        <v>9</v>
      </c>
      <c r="E579" t="s">
        <v>468</v>
      </c>
      <c r="F579" t="s">
        <v>23</v>
      </c>
      <c r="G579">
        <v>7</v>
      </c>
      <c r="H579">
        <v>952</v>
      </c>
      <c r="I579">
        <v>4.7</v>
      </c>
      <c r="J579" t="s">
        <v>523</v>
      </c>
    </row>
    <row r="580" spans="1:10" x14ac:dyDescent="0.25">
      <c r="A580">
        <v>28</v>
      </c>
      <c r="B580" t="s">
        <v>498</v>
      </c>
      <c r="C580" t="s">
        <v>19</v>
      </c>
      <c r="D580">
        <v>10</v>
      </c>
      <c r="E580" t="s">
        <v>534</v>
      </c>
      <c r="F580" t="s">
        <v>23</v>
      </c>
      <c r="G580">
        <v>8</v>
      </c>
      <c r="H580">
        <v>667</v>
      </c>
      <c r="I580">
        <v>7.6</v>
      </c>
      <c r="J580" t="s">
        <v>523</v>
      </c>
    </row>
    <row r="581" spans="1:10" x14ac:dyDescent="0.25">
      <c r="A581">
        <v>28</v>
      </c>
      <c r="B581" t="s">
        <v>498</v>
      </c>
      <c r="C581" t="s">
        <v>19</v>
      </c>
      <c r="D581">
        <v>11</v>
      </c>
      <c r="E581" t="s">
        <v>469</v>
      </c>
      <c r="F581" t="s">
        <v>25</v>
      </c>
      <c r="G581">
        <v>4</v>
      </c>
      <c r="H581">
        <v>395</v>
      </c>
      <c r="I581">
        <v>6.5</v>
      </c>
      <c r="J581" t="s">
        <v>523</v>
      </c>
    </row>
    <row r="582" spans="1:10" x14ac:dyDescent="0.25">
      <c r="A582">
        <v>28</v>
      </c>
      <c r="B582" t="s">
        <v>498</v>
      </c>
      <c r="C582" t="s">
        <v>19</v>
      </c>
      <c r="D582">
        <v>12</v>
      </c>
      <c r="E582" t="s">
        <v>475</v>
      </c>
      <c r="F582" t="s">
        <v>28</v>
      </c>
      <c r="G582">
        <v>4</v>
      </c>
      <c r="H582">
        <v>174</v>
      </c>
      <c r="I582">
        <v>14.6</v>
      </c>
      <c r="J582" t="s">
        <v>523</v>
      </c>
    </row>
    <row r="583" spans="1:10" x14ac:dyDescent="0.25">
      <c r="A583">
        <v>28</v>
      </c>
      <c r="B583" t="s">
        <v>498</v>
      </c>
      <c r="C583" t="s">
        <v>19</v>
      </c>
      <c r="D583">
        <v>13</v>
      </c>
      <c r="E583" t="s">
        <v>481</v>
      </c>
      <c r="F583" t="s">
        <v>17</v>
      </c>
      <c r="G583">
        <v>2</v>
      </c>
      <c r="H583">
        <v>235</v>
      </c>
      <c r="I583">
        <v>5.4</v>
      </c>
      <c r="J583" t="s">
        <v>523</v>
      </c>
    </row>
    <row r="584" spans="1:10" x14ac:dyDescent="0.25">
      <c r="A584">
        <v>28</v>
      </c>
      <c r="B584" t="s">
        <v>498</v>
      </c>
      <c r="C584" t="s">
        <v>19</v>
      </c>
      <c r="D584">
        <v>14</v>
      </c>
      <c r="E584" t="s">
        <v>482</v>
      </c>
      <c r="F584" t="s">
        <v>14</v>
      </c>
      <c r="G584">
        <v>17</v>
      </c>
      <c r="H584">
        <v>612</v>
      </c>
      <c r="I584">
        <v>17.7</v>
      </c>
      <c r="J584" t="s">
        <v>523</v>
      </c>
    </row>
    <row r="585" spans="1:10" x14ac:dyDescent="0.25">
      <c r="A585">
        <v>28</v>
      </c>
      <c r="B585" t="s">
        <v>498</v>
      </c>
      <c r="C585" t="s">
        <v>19</v>
      </c>
      <c r="D585">
        <v>17</v>
      </c>
      <c r="E585" t="s">
        <v>531</v>
      </c>
      <c r="F585" t="s">
        <v>25</v>
      </c>
      <c r="G585">
        <v>17</v>
      </c>
      <c r="H585">
        <v>605</v>
      </c>
      <c r="I585">
        <v>17.899999999999999</v>
      </c>
      <c r="J585" t="s">
        <v>523</v>
      </c>
    </row>
    <row r="586" spans="1:10" x14ac:dyDescent="0.25">
      <c r="A586">
        <v>28</v>
      </c>
      <c r="B586" t="s">
        <v>498</v>
      </c>
      <c r="C586" t="s">
        <v>19</v>
      </c>
      <c r="D586">
        <v>18</v>
      </c>
      <c r="E586" t="s">
        <v>532</v>
      </c>
      <c r="F586" t="s">
        <v>23</v>
      </c>
      <c r="G586">
        <v>24</v>
      </c>
      <c r="H586">
        <v>1176</v>
      </c>
      <c r="I586">
        <v>13</v>
      </c>
      <c r="J586" t="s">
        <v>523</v>
      </c>
    </row>
    <row r="587" spans="1:10" x14ac:dyDescent="0.25">
      <c r="A587">
        <v>28</v>
      </c>
      <c r="B587" t="s">
        <v>498</v>
      </c>
      <c r="C587" t="s">
        <v>19</v>
      </c>
      <c r="D587">
        <v>19</v>
      </c>
      <c r="E587" t="s">
        <v>522</v>
      </c>
      <c r="F587" t="s">
        <v>25</v>
      </c>
      <c r="G587">
        <v>13</v>
      </c>
      <c r="H587">
        <v>1079</v>
      </c>
      <c r="I587">
        <v>7.7</v>
      </c>
      <c r="J587" t="s">
        <v>523</v>
      </c>
    </row>
    <row r="588" spans="1:10" x14ac:dyDescent="0.25">
      <c r="A588">
        <v>28</v>
      </c>
      <c r="B588" t="s">
        <v>498</v>
      </c>
      <c r="C588" t="s">
        <v>19</v>
      </c>
      <c r="D588">
        <v>21</v>
      </c>
      <c r="E588" t="s">
        <v>476</v>
      </c>
      <c r="F588" t="s">
        <v>28</v>
      </c>
      <c r="G588">
        <v>11</v>
      </c>
      <c r="H588">
        <v>278</v>
      </c>
      <c r="I588">
        <v>25.2</v>
      </c>
      <c r="J588" t="s">
        <v>523</v>
      </c>
    </row>
    <row r="589" spans="1:10" x14ac:dyDescent="0.25">
      <c r="A589">
        <v>27</v>
      </c>
      <c r="B589" t="s">
        <v>497</v>
      </c>
      <c r="C589" t="s">
        <v>19</v>
      </c>
      <c r="D589">
        <v>34</v>
      </c>
      <c r="E589" t="s">
        <v>467</v>
      </c>
      <c r="F589" t="s">
        <v>17</v>
      </c>
      <c r="G589">
        <v>9</v>
      </c>
      <c r="H589">
        <v>371</v>
      </c>
      <c r="I589">
        <v>15.5</v>
      </c>
      <c r="J589" t="s">
        <v>523</v>
      </c>
    </row>
    <row r="590" spans="1:10" x14ac:dyDescent="0.25">
      <c r="A590">
        <v>28</v>
      </c>
      <c r="B590" t="s">
        <v>498</v>
      </c>
      <c r="C590" t="s">
        <v>19</v>
      </c>
      <c r="D590">
        <v>1</v>
      </c>
      <c r="E590" t="s">
        <v>466</v>
      </c>
      <c r="F590" t="s">
        <v>23</v>
      </c>
      <c r="G590">
        <v>6</v>
      </c>
      <c r="H590">
        <v>1409</v>
      </c>
      <c r="I590">
        <v>2.7</v>
      </c>
      <c r="J590" t="s">
        <v>523</v>
      </c>
    </row>
    <row r="591" spans="1:10" x14ac:dyDescent="0.25">
      <c r="A591">
        <v>28</v>
      </c>
      <c r="B591" t="s">
        <v>498</v>
      </c>
      <c r="C591" t="s">
        <v>19</v>
      </c>
      <c r="D591">
        <v>24</v>
      </c>
      <c r="E591" t="s">
        <v>524</v>
      </c>
      <c r="F591" t="s">
        <v>28</v>
      </c>
      <c r="G591">
        <v>19</v>
      </c>
      <c r="H591">
        <v>626</v>
      </c>
      <c r="I591">
        <v>19.3</v>
      </c>
      <c r="J591" t="s">
        <v>523</v>
      </c>
    </row>
    <row r="592" spans="1:10" x14ac:dyDescent="0.25">
      <c r="A592">
        <v>28</v>
      </c>
      <c r="B592" t="s">
        <v>498</v>
      </c>
      <c r="C592" t="s">
        <v>19</v>
      </c>
      <c r="D592">
        <v>25</v>
      </c>
      <c r="E592" t="s">
        <v>525</v>
      </c>
      <c r="F592" t="s">
        <v>25</v>
      </c>
      <c r="G592">
        <v>10</v>
      </c>
      <c r="H592">
        <v>2184</v>
      </c>
      <c r="I592">
        <v>2.9</v>
      </c>
      <c r="J592" t="s">
        <v>523</v>
      </c>
    </row>
    <row r="593" spans="1:10" x14ac:dyDescent="0.25">
      <c r="A593">
        <v>28</v>
      </c>
      <c r="B593" t="s">
        <v>498</v>
      </c>
      <c r="C593" t="s">
        <v>19</v>
      </c>
      <c r="D593">
        <v>34</v>
      </c>
      <c r="E593" t="s">
        <v>467</v>
      </c>
      <c r="F593" t="s">
        <v>17</v>
      </c>
      <c r="G593">
        <v>19</v>
      </c>
      <c r="H593">
        <v>433</v>
      </c>
      <c r="I593">
        <v>28</v>
      </c>
      <c r="J593" t="s">
        <v>523</v>
      </c>
    </row>
    <row r="594" spans="1:10" x14ac:dyDescent="0.25">
      <c r="A594">
        <v>29</v>
      </c>
      <c r="B594" t="s">
        <v>521</v>
      </c>
      <c r="C594" t="s">
        <v>26</v>
      </c>
      <c r="D594">
        <v>1</v>
      </c>
      <c r="E594" t="s">
        <v>466</v>
      </c>
      <c r="F594" t="s">
        <v>23</v>
      </c>
      <c r="G594">
        <v>2</v>
      </c>
      <c r="H594">
        <v>1117</v>
      </c>
      <c r="I594">
        <v>1.1000000000000001</v>
      </c>
      <c r="J594" t="s">
        <v>523</v>
      </c>
    </row>
    <row r="595" spans="1:10" x14ac:dyDescent="0.25">
      <c r="A595">
        <v>29</v>
      </c>
      <c r="B595" t="s">
        <v>521</v>
      </c>
      <c r="C595" t="s">
        <v>26</v>
      </c>
      <c r="D595">
        <v>2</v>
      </c>
      <c r="E595" t="s">
        <v>462</v>
      </c>
      <c r="F595" t="s">
        <v>23</v>
      </c>
      <c r="G595">
        <v>15</v>
      </c>
      <c r="H595">
        <v>956</v>
      </c>
      <c r="I595">
        <v>10</v>
      </c>
      <c r="J595" t="s">
        <v>523</v>
      </c>
    </row>
    <row r="596" spans="1:10" x14ac:dyDescent="0.25">
      <c r="A596">
        <v>29</v>
      </c>
      <c r="B596" t="s">
        <v>521</v>
      </c>
      <c r="C596" t="s">
        <v>26</v>
      </c>
      <c r="D596">
        <v>3</v>
      </c>
      <c r="E596" t="s">
        <v>493</v>
      </c>
      <c r="F596" t="s">
        <v>25</v>
      </c>
      <c r="G596">
        <v>17</v>
      </c>
      <c r="H596">
        <v>1077</v>
      </c>
      <c r="I596">
        <v>10.1</v>
      </c>
      <c r="J596" t="s">
        <v>523</v>
      </c>
    </row>
    <row r="597" spans="1:10" x14ac:dyDescent="0.25">
      <c r="A597">
        <v>29</v>
      </c>
      <c r="B597" t="s">
        <v>521</v>
      </c>
      <c r="C597" t="s">
        <v>26</v>
      </c>
      <c r="D597">
        <v>6</v>
      </c>
      <c r="E597" t="s">
        <v>527</v>
      </c>
      <c r="F597" t="s">
        <v>17</v>
      </c>
      <c r="G597">
        <v>17</v>
      </c>
      <c r="H597">
        <v>2160</v>
      </c>
      <c r="I597">
        <v>5</v>
      </c>
      <c r="J597" t="s">
        <v>523</v>
      </c>
    </row>
    <row r="598" spans="1:10" x14ac:dyDescent="0.25">
      <c r="A598">
        <v>29</v>
      </c>
      <c r="B598" t="s">
        <v>521</v>
      </c>
      <c r="C598" t="s">
        <v>26</v>
      </c>
      <c r="D598">
        <v>7</v>
      </c>
      <c r="E598" t="s">
        <v>528</v>
      </c>
      <c r="F598" t="s">
        <v>28</v>
      </c>
      <c r="G598">
        <v>10</v>
      </c>
      <c r="H598">
        <v>734</v>
      </c>
      <c r="I598">
        <v>8.6999999999999993</v>
      </c>
      <c r="J598" t="s">
        <v>523</v>
      </c>
    </row>
    <row r="599" spans="1:10" x14ac:dyDescent="0.25">
      <c r="A599">
        <v>29</v>
      </c>
      <c r="B599" t="s">
        <v>521</v>
      </c>
      <c r="C599" t="s">
        <v>26</v>
      </c>
      <c r="D599">
        <v>8</v>
      </c>
      <c r="E599" t="s">
        <v>529</v>
      </c>
      <c r="F599" t="s">
        <v>14</v>
      </c>
      <c r="G599">
        <v>10</v>
      </c>
      <c r="H599">
        <v>1091</v>
      </c>
      <c r="I599">
        <v>5.8</v>
      </c>
      <c r="J599" t="s">
        <v>523</v>
      </c>
    </row>
    <row r="600" spans="1:10" x14ac:dyDescent="0.25">
      <c r="A600">
        <v>29</v>
      </c>
      <c r="B600" t="s">
        <v>521</v>
      </c>
      <c r="C600" t="s">
        <v>26</v>
      </c>
      <c r="D600">
        <v>9</v>
      </c>
      <c r="E600" t="s">
        <v>468</v>
      </c>
      <c r="F600" t="s">
        <v>23</v>
      </c>
      <c r="G600">
        <v>6</v>
      </c>
      <c r="H600">
        <v>580</v>
      </c>
      <c r="I600">
        <v>6.6</v>
      </c>
      <c r="J600" t="s">
        <v>523</v>
      </c>
    </row>
    <row r="601" spans="1:10" x14ac:dyDescent="0.25">
      <c r="A601">
        <v>29</v>
      </c>
      <c r="B601" t="s">
        <v>521</v>
      </c>
      <c r="C601" t="s">
        <v>26</v>
      </c>
      <c r="D601">
        <v>10</v>
      </c>
      <c r="E601" t="s">
        <v>534</v>
      </c>
      <c r="F601" t="s">
        <v>23</v>
      </c>
      <c r="G601">
        <v>45</v>
      </c>
      <c r="H601">
        <v>1034</v>
      </c>
      <c r="I601">
        <v>27.7</v>
      </c>
      <c r="J601" t="s">
        <v>523</v>
      </c>
    </row>
    <row r="602" spans="1:10" x14ac:dyDescent="0.25">
      <c r="A602">
        <v>29</v>
      </c>
      <c r="B602" t="s">
        <v>521</v>
      </c>
      <c r="C602" t="s">
        <v>26</v>
      </c>
      <c r="D602">
        <v>11</v>
      </c>
      <c r="E602" t="s">
        <v>469</v>
      </c>
      <c r="F602" t="s">
        <v>25</v>
      </c>
      <c r="G602">
        <v>8</v>
      </c>
      <c r="H602">
        <v>218</v>
      </c>
      <c r="I602">
        <v>23.4</v>
      </c>
      <c r="J602" t="s">
        <v>523</v>
      </c>
    </row>
    <row r="603" spans="1:10" x14ac:dyDescent="0.25">
      <c r="A603">
        <v>29</v>
      </c>
      <c r="B603" t="s">
        <v>521</v>
      </c>
      <c r="C603" t="s">
        <v>26</v>
      </c>
      <c r="D603">
        <v>12</v>
      </c>
      <c r="E603" t="s">
        <v>475</v>
      </c>
      <c r="F603" t="s">
        <v>28</v>
      </c>
      <c r="G603">
        <v>6</v>
      </c>
      <c r="H603">
        <v>157</v>
      </c>
      <c r="I603">
        <v>24.3</v>
      </c>
      <c r="J603" t="s">
        <v>523</v>
      </c>
    </row>
    <row r="604" spans="1:10" x14ac:dyDescent="0.25">
      <c r="A604">
        <v>29</v>
      </c>
      <c r="B604" t="s">
        <v>521</v>
      </c>
      <c r="C604" t="s">
        <v>26</v>
      </c>
      <c r="D604">
        <v>13</v>
      </c>
      <c r="E604" t="s">
        <v>481</v>
      </c>
      <c r="F604" t="s">
        <v>17</v>
      </c>
      <c r="G604">
        <v>5</v>
      </c>
      <c r="H604">
        <v>401</v>
      </c>
      <c r="I604">
        <v>7.9</v>
      </c>
      <c r="J604" t="s">
        <v>523</v>
      </c>
    </row>
    <row r="605" spans="1:10" x14ac:dyDescent="0.25">
      <c r="A605">
        <v>29</v>
      </c>
      <c r="B605" t="s">
        <v>521</v>
      </c>
      <c r="C605" t="s">
        <v>26</v>
      </c>
      <c r="D605">
        <v>14</v>
      </c>
      <c r="E605" t="s">
        <v>482</v>
      </c>
      <c r="F605" t="s">
        <v>14</v>
      </c>
      <c r="G605">
        <v>5</v>
      </c>
      <c r="H605">
        <v>1005</v>
      </c>
      <c r="I605">
        <v>3.2</v>
      </c>
      <c r="J605" t="s">
        <v>523</v>
      </c>
    </row>
    <row r="606" spans="1:10" x14ac:dyDescent="0.25">
      <c r="A606">
        <v>29</v>
      </c>
      <c r="B606" t="s">
        <v>521</v>
      </c>
      <c r="C606" t="s">
        <v>26</v>
      </c>
      <c r="D606">
        <v>15</v>
      </c>
      <c r="E606" t="s">
        <v>471</v>
      </c>
      <c r="F606" t="s">
        <v>23</v>
      </c>
      <c r="G606">
        <v>18</v>
      </c>
      <c r="H606">
        <v>771</v>
      </c>
      <c r="I606">
        <v>14.9</v>
      </c>
      <c r="J606" t="s">
        <v>523</v>
      </c>
    </row>
    <row r="607" spans="1:10" x14ac:dyDescent="0.25">
      <c r="A607">
        <v>27</v>
      </c>
      <c r="B607" t="s">
        <v>497</v>
      </c>
      <c r="C607" t="s">
        <v>19</v>
      </c>
      <c r="D607">
        <v>12</v>
      </c>
      <c r="E607" t="s">
        <v>475</v>
      </c>
      <c r="F607" t="s">
        <v>28</v>
      </c>
      <c r="G607">
        <v>5</v>
      </c>
      <c r="H607">
        <v>229</v>
      </c>
      <c r="I607">
        <v>13.9</v>
      </c>
      <c r="J607" t="s">
        <v>523</v>
      </c>
    </row>
    <row r="608" spans="1:10" x14ac:dyDescent="0.25">
      <c r="A608">
        <v>25</v>
      </c>
      <c r="B608" t="s">
        <v>495</v>
      </c>
      <c r="C608" t="s">
        <v>19</v>
      </c>
      <c r="D608">
        <v>30</v>
      </c>
      <c r="E608" t="s">
        <v>530</v>
      </c>
      <c r="F608" t="s">
        <v>14</v>
      </c>
      <c r="G608">
        <v>46</v>
      </c>
      <c r="H608">
        <v>1088</v>
      </c>
      <c r="I608">
        <v>26.9</v>
      </c>
      <c r="J608" t="s">
        <v>523</v>
      </c>
    </row>
    <row r="609" spans="1:10" x14ac:dyDescent="0.25">
      <c r="A609">
        <v>27</v>
      </c>
      <c r="B609" t="s">
        <v>497</v>
      </c>
      <c r="C609" t="s">
        <v>19</v>
      </c>
      <c r="D609">
        <v>25</v>
      </c>
      <c r="E609" t="s">
        <v>525</v>
      </c>
      <c r="F609" t="s">
        <v>25</v>
      </c>
      <c r="G609">
        <v>18</v>
      </c>
      <c r="H609">
        <v>1253</v>
      </c>
      <c r="I609">
        <v>9.1999999999999993</v>
      </c>
      <c r="J609" t="s">
        <v>523</v>
      </c>
    </row>
    <row r="610" spans="1:10" x14ac:dyDescent="0.25">
      <c r="A610">
        <v>26</v>
      </c>
      <c r="B610" t="s">
        <v>544</v>
      </c>
      <c r="C610" t="s">
        <v>26</v>
      </c>
      <c r="D610">
        <v>31</v>
      </c>
      <c r="E610" t="s">
        <v>496</v>
      </c>
      <c r="F610" t="s">
        <v>28</v>
      </c>
      <c r="G610">
        <v>4</v>
      </c>
      <c r="H610">
        <v>550</v>
      </c>
      <c r="I610">
        <v>4.5999999999999996</v>
      </c>
      <c r="J610" t="s">
        <v>523</v>
      </c>
    </row>
    <row r="611" spans="1:10" x14ac:dyDescent="0.25">
      <c r="A611">
        <v>26</v>
      </c>
      <c r="B611" t="s">
        <v>544</v>
      </c>
      <c r="C611" t="s">
        <v>26</v>
      </c>
      <c r="D611">
        <v>32</v>
      </c>
      <c r="E611" t="s">
        <v>507</v>
      </c>
      <c r="F611" t="s">
        <v>28</v>
      </c>
      <c r="G611">
        <v>2</v>
      </c>
      <c r="H611">
        <v>201</v>
      </c>
      <c r="I611">
        <v>6.3</v>
      </c>
      <c r="J611" t="s">
        <v>523</v>
      </c>
    </row>
    <row r="612" spans="1:10" x14ac:dyDescent="0.25">
      <c r="A612">
        <v>26</v>
      </c>
      <c r="B612" t="s">
        <v>544</v>
      </c>
      <c r="C612" t="s">
        <v>26</v>
      </c>
      <c r="D612">
        <v>33</v>
      </c>
      <c r="E612" t="s">
        <v>490</v>
      </c>
      <c r="F612" t="s">
        <v>23</v>
      </c>
      <c r="G612">
        <v>2</v>
      </c>
      <c r="H612">
        <v>135</v>
      </c>
      <c r="I612">
        <v>9.4</v>
      </c>
      <c r="J612" t="s">
        <v>523</v>
      </c>
    </row>
    <row r="613" spans="1:10" x14ac:dyDescent="0.25">
      <c r="A613">
        <v>27</v>
      </c>
      <c r="B613" t="s">
        <v>497</v>
      </c>
      <c r="C613" t="s">
        <v>19</v>
      </c>
      <c r="D613">
        <v>14</v>
      </c>
      <c r="E613" t="s">
        <v>482</v>
      </c>
      <c r="F613" t="s">
        <v>14</v>
      </c>
      <c r="G613">
        <v>21</v>
      </c>
      <c r="H613">
        <v>548</v>
      </c>
      <c r="I613">
        <v>24.4</v>
      </c>
      <c r="J613" t="s">
        <v>523</v>
      </c>
    </row>
    <row r="614" spans="1:10" x14ac:dyDescent="0.25">
      <c r="A614">
        <v>27</v>
      </c>
      <c r="B614" t="s">
        <v>497</v>
      </c>
      <c r="C614" t="s">
        <v>19</v>
      </c>
      <c r="D614">
        <v>15</v>
      </c>
      <c r="E614" t="s">
        <v>471</v>
      </c>
      <c r="F614" t="s">
        <v>23</v>
      </c>
      <c r="G614">
        <v>3</v>
      </c>
      <c r="H614">
        <v>308</v>
      </c>
      <c r="I614">
        <v>6.2</v>
      </c>
      <c r="J614" t="s">
        <v>523</v>
      </c>
    </row>
    <row r="615" spans="1:10" x14ac:dyDescent="0.25">
      <c r="A615">
        <v>27</v>
      </c>
      <c r="B615" t="s">
        <v>497</v>
      </c>
      <c r="C615" t="s">
        <v>19</v>
      </c>
      <c r="D615">
        <v>17</v>
      </c>
      <c r="E615" t="s">
        <v>531</v>
      </c>
      <c r="F615" t="s">
        <v>25</v>
      </c>
      <c r="G615">
        <v>2</v>
      </c>
      <c r="H615">
        <v>229</v>
      </c>
      <c r="I615">
        <v>5.6</v>
      </c>
      <c r="J615" t="s">
        <v>523</v>
      </c>
    </row>
    <row r="616" spans="1:10" x14ac:dyDescent="0.25">
      <c r="A616">
        <v>27</v>
      </c>
      <c r="B616" t="s">
        <v>497</v>
      </c>
      <c r="C616" t="s">
        <v>19</v>
      </c>
      <c r="D616">
        <v>18</v>
      </c>
      <c r="E616" t="s">
        <v>532</v>
      </c>
      <c r="F616" t="s">
        <v>23</v>
      </c>
      <c r="G616">
        <v>18</v>
      </c>
      <c r="H616">
        <v>1281</v>
      </c>
      <c r="I616">
        <v>9</v>
      </c>
      <c r="J616" t="s">
        <v>523</v>
      </c>
    </row>
    <row r="617" spans="1:10" x14ac:dyDescent="0.25">
      <c r="A617">
        <v>27</v>
      </c>
      <c r="B617" t="s">
        <v>497</v>
      </c>
      <c r="C617" t="s">
        <v>19</v>
      </c>
      <c r="D617">
        <v>19</v>
      </c>
      <c r="E617" t="s">
        <v>522</v>
      </c>
      <c r="F617" t="s">
        <v>25</v>
      </c>
      <c r="G617">
        <v>34</v>
      </c>
      <c r="H617">
        <v>1563</v>
      </c>
      <c r="I617">
        <v>13.9</v>
      </c>
      <c r="J617" t="s">
        <v>523</v>
      </c>
    </row>
    <row r="618" spans="1:10" x14ac:dyDescent="0.25">
      <c r="A618">
        <v>27</v>
      </c>
      <c r="B618" t="s">
        <v>497</v>
      </c>
      <c r="C618" t="s">
        <v>19</v>
      </c>
      <c r="D618">
        <v>21</v>
      </c>
      <c r="E618" t="s">
        <v>476</v>
      </c>
      <c r="F618" t="s">
        <v>28</v>
      </c>
      <c r="G618">
        <v>2</v>
      </c>
      <c r="H618">
        <v>257</v>
      </c>
      <c r="I618">
        <v>5</v>
      </c>
      <c r="J618" t="s">
        <v>523</v>
      </c>
    </row>
    <row r="619" spans="1:10" x14ac:dyDescent="0.25">
      <c r="A619">
        <v>26</v>
      </c>
      <c r="B619" t="s">
        <v>544</v>
      </c>
      <c r="C619" t="s">
        <v>26</v>
      </c>
      <c r="D619">
        <v>23</v>
      </c>
      <c r="E619" t="s">
        <v>506</v>
      </c>
      <c r="F619" t="s">
        <v>23</v>
      </c>
      <c r="G619">
        <v>4</v>
      </c>
      <c r="H619">
        <v>124</v>
      </c>
      <c r="I619">
        <v>20.5</v>
      </c>
      <c r="J619" t="s">
        <v>523</v>
      </c>
    </row>
    <row r="620" spans="1:10" x14ac:dyDescent="0.25">
      <c r="A620">
        <v>26</v>
      </c>
      <c r="B620" t="s">
        <v>544</v>
      </c>
      <c r="C620" t="s">
        <v>26</v>
      </c>
      <c r="D620">
        <v>24</v>
      </c>
      <c r="E620" t="s">
        <v>524</v>
      </c>
      <c r="F620" t="s">
        <v>28</v>
      </c>
      <c r="G620">
        <v>11</v>
      </c>
      <c r="H620">
        <v>494</v>
      </c>
      <c r="I620">
        <v>14.2</v>
      </c>
      <c r="J620" t="s">
        <v>523</v>
      </c>
    </row>
    <row r="621" spans="1:10" x14ac:dyDescent="0.25">
      <c r="A621">
        <v>26</v>
      </c>
      <c r="B621" t="s">
        <v>544</v>
      </c>
      <c r="C621" t="s">
        <v>26</v>
      </c>
      <c r="D621">
        <v>25</v>
      </c>
      <c r="E621" t="s">
        <v>525</v>
      </c>
      <c r="F621" t="s">
        <v>25</v>
      </c>
      <c r="G621">
        <v>71</v>
      </c>
      <c r="H621">
        <v>1446</v>
      </c>
      <c r="I621">
        <v>31.3</v>
      </c>
      <c r="J621" t="s">
        <v>523</v>
      </c>
    </row>
    <row r="622" spans="1:10" x14ac:dyDescent="0.25">
      <c r="A622">
        <v>26</v>
      </c>
      <c r="B622" t="s">
        <v>544</v>
      </c>
      <c r="C622" t="s">
        <v>26</v>
      </c>
      <c r="D622">
        <v>26</v>
      </c>
      <c r="E622" t="s">
        <v>519</v>
      </c>
      <c r="F622" t="s">
        <v>25</v>
      </c>
      <c r="G622">
        <v>4</v>
      </c>
      <c r="H622">
        <v>192</v>
      </c>
      <c r="I622">
        <v>13.3</v>
      </c>
      <c r="J622" t="s">
        <v>523</v>
      </c>
    </row>
    <row r="623" spans="1:10" x14ac:dyDescent="0.25">
      <c r="A623">
        <v>26</v>
      </c>
      <c r="B623" t="s">
        <v>544</v>
      </c>
      <c r="C623" t="s">
        <v>26</v>
      </c>
      <c r="D623">
        <v>27</v>
      </c>
      <c r="E623" t="s">
        <v>526</v>
      </c>
      <c r="F623" t="s">
        <v>25</v>
      </c>
      <c r="G623">
        <v>8</v>
      </c>
      <c r="H623">
        <v>319</v>
      </c>
      <c r="I623">
        <v>16</v>
      </c>
      <c r="J623" t="s">
        <v>523</v>
      </c>
    </row>
    <row r="624" spans="1:10" x14ac:dyDescent="0.25">
      <c r="A624">
        <v>27</v>
      </c>
      <c r="B624" t="s">
        <v>497</v>
      </c>
      <c r="C624" t="s">
        <v>19</v>
      </c>
      <c r="D624">
        <v>1</v>
      </c>
      <c r="E624" t="s">
        <v>466</v>
      </c>
      <c r="F624" t="s">
        <v>23</v>
      </c>
      <c r="G624">
        <v>27</v>
      </c>
      <c r="H624">
        <v>1008</v>
      </c>
      <c r="I624">
        <v>17.100000000000001</v>
      </c>
      <c r="J624" t="s">
        <v>523</v>
      </c>
    </row>
    <row r="625" spans="1:10" x14ac:dyDescent="0.25">
      <c r="A625">
        <v>27</v>
      </c>
      <c r="B625" t="s">
        <v>497</v>
      </c>
      <c r="C625" t="s">
        <v>19</v>
      </c>
      <c r="D625">
        <v>2</v>
      </c>
      <c r="E625" t="s">
        <v>462</v>
      </c>
      <c r="F625" t="s">
        <v>23</v>
      </c>
      <c r="G625">
        <v>30</v>
      </c>
      <c r="H625">
        <v>947</v>
      </c>
      <c r="I625">
        <v>20.2</v>
      </c>
      <c r="J625" t="s">
        <v>523</v>
      </c>
    </row>
    <row r="626" spans="1:10" x14ac:dyDescent="0.25">
      <c r="A626">
        <v>27</v>
      </c>
      <c r="B626" t="s">
        <v>497</v>
      </c>
      <c r="C626" t="s">
        <v>19</v>
      </c>
      <c r="D626">
        <v>3</v>
      </c>
      <c r="E626" t="s">
        <v>493</v>
      </c>
      <c r="F626" t="s">
        <v>25</v>
      </c>
      <c r="G626">
        <v>55</v>
      </c>
      <c r="H626">
        <v>3155</v>
      </c>
      <c r="I626">
        <v>11.1</v>
      </c>
      <c r="J626" t="s">
        <v>523</v>
      </c>
    </row>
    <row r="627" spans="1:10" x14ac:dyDescent="0.25">
      <c r="A627">
        <v>27</v>
      </c>
      <c r="B627" t="s">
        <v>497</v>
      </c>
      <c r="C627" t="s">
        <v>19</v>
      </c>
      <c r="D627">
        <v>6</v>
      </c>
      <c r="E627" t="s">
        <v>527</v>
      </c>
      <c r="F627" t="s">
        <v>17</v>
      </c>
      <c r="G627">
        <v>7</v>
      </c>
      <c r="H627">
        <v>854</v>
      </c>
      <c r="I627">
        <v>5.2</v>
      </c>
      <c r="J627" t="s">
        <v>523</v>
      </c>
    </row>
    <row r="628" spans="1:10" x14ac:dyDescent="0.25">
      <c r="A628">
        <v>27</v>
      </c>
      <c r="B628" t="s">
        <v>497</v>
      </c>
      <c r="C628" t="s">
        <v>19</v>
      </c>
      <c r="D628">
        <v>7</v>
      </c>
      <c r="E628" t="s">
        <v>528</v>
      </c>
      <c r="F628" t="s">
        <v>28</v>
      </c>
      <c r="G628">
        <v>22</v>
      </c>
      <c r="H628">
        <v>476</v>
      </c>
      <c r="I628">
        <v>29.4</v>
      </c>
      <c r="J628" t="s">
        <v>523</v>
      </c>
    </row>
    <row r="629" spans="1:10" x14ac:dyDescent="0.25">
      <c r="A629">
        <v>27</v>
      </c>
      <c r="B629" t="s">
        <v>497</v>
      </c>
      <c r="C629" t="s">
        <v>19</v>
      </c>
      <c r="D629">
        <v>8</v>
      </c>
      <c r="E629" t="s">
        <v>529</v>
      </c>
      <c r="F629" t="s">
        <v>14</v>
      </c>
      <c r="G629">
        <v>12</v>
      </c>
      <c r="H629">
        <v>1240</v>
      </c>
      <c r="I629">
        <v>6.2</v>
      </c>
      <c r="J629" t="s">
        <v>523</v>
      </c>
    </row>
    <row r="630" spans="1:10" x14ac:dyDescent="0.25">
      <c r="A630">
        <v>27</v>
      </c>
      <c r="B630" t="s">
        <v>497</v>
      </c>
      <c r="C630" t="s">
        <v>19</v>
      </c>
      <c r="D630">
        <v>9</v>
      </c>
      <c r="E630" t="s">
        <v>468</v>
      </c>
      <c r="F630" t="s">
        <v>23</v>
      </c>
      <c r="G630">
        <v>6</v>
      </c>
      <c r="H630">
        <v>1080</v>
      </c>
      <c r="I630">
        <v>3.5</v>
      </c>
      <c r="J630" t="s">
        <v>523</v>
      </c>
    </row>
    <row r="631" spans="1:10" x14ac:dyDescent="0.25">
      <c r="A631">
        <v>26</v>
      </c>
      <c r="B631" t="s">
        <v>544</v>
      </c>
      <c r="C631" t="s">
        <v>26</v>
      </c>
      <c r="D631">
        <v>1</v>
      </c>
      <c r="E631" t="s">
        <v>466</v>
      </c>
      <c r="F631" t="s">
        <v>23</v>
      </c>
      <c r="G631">
        <v>6</v>
      </c>
      <c r="H631">
        <v>766</v>
      </c>
      <c r="I631">
        <v>5</v>
      </c>
      <c r="J631" t="s">
        <v>523</v>
      </c>
    </row>
    <row r="632" spans="1:10" x14ac:dyDescent="0.25">
      <c r="A632">
        <v>26</v>
      </c>
      <c r="B632" t="s">
        <v>544</v>
      </c>
      <c r="C632" t="s">
        <v>26</v>
      </c>
      <c r="D632">
        <v>2</v>
      </c>
      <c r="E632" t="s">
        <v>462</v>
      </c>
      <c r="F632" t="s">
        <v>23</v>
      </c>
      <c r="G632">
        <v>15</v>
      </c>
      <c r="H632">
        <v>676</v>
      </c>
      <c r="I632">
        <v>14.1</v>
      </c>
      <c r="J632" t="s">
        <v>523</v>
      </c>
    </row>
    <row r="633" spans="1:10" x14ac:dyDescent="0.25">
      <c r="A633">
        <v>26</v>
      </c>
      <c r="B633" t="s">
        <v>544</v>
      </c>
      <c r="C633" t="s">
        <v>26</v>
      </c>
      <c r="D633">
        <v>3</v>
      </c>
      <c r="E633" t="s">
        <v>493</v>
      </c>
      <c r="F633" t="s">
        <v>25</v>
      </c>
      <c r="G633">
        <v>15</v>
      </c>
      <c r="H633">
        <v>1849</v>
      </c>
      <c r="I633">
        <v>5.2</v>
      </c>
      <c r="J633" t="s">
        <v>523</v>
      </c>
    </row>
    <row r="634" spans="1:10" x14ac:dyDescent="0.25">
      <c r="A634">
        <v>24</v>
      </c>
      <c r="B634" t="s">
        <v>494</v>
      </c>
      <c r="C634" t="s">
        <v>19</v>
      </c>
      <c r="D634">
        <v>29</v>
      </c>
      <c r="E634" t="s">
        <v>472</v>
      </c>
      <c r="F634" t="s">
        <v>23</v>
      </c>
      <c r="G634">
        <v>3</v>
      </c>
      <c r="H634">
        <v>96</v>
      </c>
      <c r="I634">
        <v>19.899999999999999</v>
      </c>
      <c r="J634" t="s">
        <v>523</v>
      </c>
    </row>
    <row r="635" spans="1:10" x14ac:dyDescent="0.25">
      <c r="A635">
        <v>24</v>
      </c>
      <c r="B635" t="s">
        <v>494</v>
      </c>
      <c r="C635" t="s">
        <v>19</v>
      </c>
      <c r="D635">
        <v>31</v>
      </c>
      <c r="E635" t="s">
        <v>496</v>
      </c>
      <c r="F635" t="s">
        <v>28</v>
      </c>
      <c r="G635">
        <v>10</v>
      </c>
      <c r="H635">
        <v>627</v>
      </c>
      <c r="I635">
        <v>10.199999999999999</v>
      </c>
      <c r="J635" t="s">
        <v>523</v>
      </c>
    </row>
    <row r="636" spans="1:10" x14ac:dyDescent="0.25">
      <c r="A636">
        <v>25</v>
      </c>
      <c r="B636" t="s">
        <v>495</v>
      </c>
      <c r="C636" t="s">
        <v>19</v>
      </c>
      <c r="D636">
        <v>24</v>
      </c>
      <c r="E636" t="s">
        <v>524</v>
      </c>
      <c r="F636" t="s">
        <v>28</v>
      </c>
      <c r="G636">
        <v>10</v>
      </c>
      <c r="H636">
        <v>258</v>
      </c>
      <c r="I636">
        <v>24.7</v>
      </c>
      <c r="J636" t="s">
        <v>523</v>
      </c>
    </row>
    <row r="637" spans="1:10" x14ac:dyDescent="0.25">
      <c r="A637">
        <v>25</v>
      </c>
      <c r="B637" t="s">
        <v>495</v>
      </c>
      <c r="C637" t="s">
        <v>19</v>
      </c>
      <c r="D637">
        <v>25</v>
      </c>
      <c r="E637" t="s">
        <v>525</v>
      </c>
      <c r="F637" t="s">
        <v>25</v>
      </c>
      <c r="G637">
        <v>80</v>
      </c>
      <c r="H637">
        <v>2256</v>
      </c>
      <c r="I637">
        <v>22.6</v>
      </c>
      <c r="J637" t="s">
        <v>523</v>
      </c>
    </row>
    <row r="638" spans="1:10" x14ac:dyDescent="0.25">
      <c r="A638">
        <v>25</v>
      </c>
      <c r="B638" t="s">
        <v>495</v>
      </c>
      <c r="C638" t="s">
        <v>19</v>
      </c>
      <c r="D638">
        <v>26</v>
      </c>
      <c r="E638" t="s">
        <v>519</v>
      </c>
      <c r="F638" t="s">
        <v>25</v>
      </c>
      <c r="G638">
        <v>3</v>
      </c>
      <c r="H638">
        <v>148</v>
      </c>
      <c r="I638">
        <v>12.9</v>
      </c>
      <c r="J638" t="s">
        <v>523</v>
      </c>
    </row>
    <row r="639" spans="1:10" x14ac:dyDescent="0.25">
      <c r="A639">
        <v>26</v>
      </c>
      <c r="B639" t="s">
        <v>544</v>
      </c>
      <c r="C639" t="s">
        <v>26</v>
      </c>
      <c r="D639">
        <v>6</v>
      </c>
      <c r="E639" t="s">
        <v>527</v>
      </c>
      <c r="F639" t="s">
        <v>17</v>
      </c>
      <c r="G639">
        <v>23</v>
      </c>
      <c r="H639">
        <v>1352</v>
      </c>
      <c r="I639">
        <v>10.8</v>
      </c>
      <c r="J639" t="s">
        <v>523</v>
      </c>
    </row>
    <row r="640" spans="1:10" x14ac:dyDescent="0.25">
      <c r="A640">
        <v>26</v>
      </c>
      <c r="B640" t="s">
        <v>544</v>
      </c>
      <c r="C640" t="s">
        <v>26</v>
      </c>
      <c r="D640">
        <v>7</v>
      </c>
      <c r="E640" t="s">
        <v>528</v>
      </c>
      <c r="F640" t="s">
        <v>28</v>
      </c>
      <c r="G640">
        <v>16</v>
      </c>
      <c r="H640">
        <v>394</v>
      </c>
      <c r="I640">
        <v>25.9</v>
      </c>
      <c r="J640" t="s">
        <v>523</v>
      </c>
    </row>
    <row r="641" spans="1:10" x14ac:dyDescent="0.25">
      <c r="A641">
        <v>26</v>
      </c>
      <c r="B641" t="s">
        <v>544</v>
      </c>
      <c r="C641" t="s">
        <v>26</v>
      </c>
      <c r="D641">
        <v>8</v>
      </c>
      <c r="E641" t="s">
        <v>529</v>
      </c>
      <c r="F641" t="s">
        <v>14</v>
      </c>
      <c r="G641">
        <v>22</v>
      </c>
      <c r="H641">
        <v>1398</v>
      </c>
      <c r="I641">
        <v>10</v>
      </c>
      <c r="J641" t="s">
        <v>523</v>
      </c>
    </row>
    <row r="642" spans="1:10" x14ac:dyDescent="0.25">
      <c r="A642">
        <v>26</v>
      </c>
      <c r="B642" t="s">
        <v>544</v>
      </c>
      <c r="C642" t="s">
        <v>26</v>
      </c>
      <c r="D642">
        <v>9</v>
      </c>
      <c r="E642" t="s">
        <v>468</v>
      </c>
      <c r="F642" t="s">
        <v>23</v>
      </c>
      <c r="G642">
        <v>15</v>
      </c>
      <c r="H642">
        <v>400</v>
      </c>
      <c r="I642">
        <v>23.9</v>
      </c>
      <c r="J642" t="s">
        <v>523</v>
      </c>
    </row>
    <row r="643" spans="1:10" x14ac:dyDescent="0.25">
      <c r="A643">
        <v>24</v>
      </c>
      <c r="B643" t="s">
        <v>494</v>
      </c>
      <c r="C643" t="s">
        <v>19</v>
      </c>
      <c r="D643">
        <v>33</v>
      </c>
      <c r="E643" t="s">
        <v>490</v>
      </c>
      <c r="F643" t="s">
        <v>23</v>
      </c>
      <c r="G643">
        <v>4</v>
      </c>
      <c r="H643">
        <v>123</v>
      </c>
      <c r="I643">
        <v>20.7</v>
      </c>
      <c r="J643" t="s">
        <v>523</v>
      </c>
    </row>
    <row r="644" spans="1:10" x14ac:dyDescent="0.25">
      <c r="A644">
        <v>26</v>
      </c>
      <c r="B644" t="s">
        <v>544</v>
      </c>
      <c r="C644" t="s">
        <v>26</v>
      </c>
      <c r="D644">
        <v>11</v>
      </c>
      <c r="E644" t="s">
        <v>469</v>
      </c>
      <c r="F644" t="s">
        <v>25</v>
      </c>
      <c r="G644">
        <v>2</v>
      </c>
      <c r="H644">
        <v>146</v>
      </c>
      <c r="I644">
        <v>8.6999999999999993</v>
      </c>
      <c r="J644" t="s">
        <v>523</v>
      </c>
    </row>
    <row r="645" spans="1:10" x14ac:dyDescent="0.25">
      <c r="A645">
        <v>26</v>
      </c>
      <c r="B645" t="s">
        <v>544</v>
      </c>
      <c r="C645" t="s">
        <v>26</v>
      </c>
      <c r="D645">
        <v>17</v>
      </c>
      <c r="E645" t="s">
        <v>531</v>
      </c>
      <c r="F645" t="s">
        <v>25</v>
      </c>
      <c r="G645">
        <v>6</v>
      </c>
      <c r="H645">
        <v>266</v>
      </c>
      <c r="I645">
        <v>14.4</v>
      </c>
      <c r="J645" t="s">
        <v>523</v>
      </c>
    </row>
    <row r="646" spans="1:10" x14ac:dyDescent="0.25">
      <c r="A646">
        <v>26</v>
      </c>
      <c r="B646" t="s">
        <v>544</v>
      </c>
      <c r="C646" t="s">
        <v>26</v>
      </c>
      <c r="D646">
        <v>18</v>
      </c>
      <c r="E646" t="s">
        <v>532</v>
      </c>
      <c r="F646" t="s">
        <v>23</v>
      </c>
      <c r="G646">
        <v>7</v>
      </c>
      <c r="H646">
        <v>642</v>
      </c>
      <c r="I646">
        <v>6.9</v>
      </c>
      <c r="J646" t="s">
        <v>523</v>
      </c>
    </row>
    <row r="647" spans="1:10" x14ac:dyDescent="0.25">
      <c r="A647">
        <v>26</v>
      </c>
      <c r="B647" t="s">
        <v>544</v>
      </c>
      <c r="C647" t="s">
        <v>26</v>
      </c>
      <c r="D647">
        <v>14</v>
      </c>
      <c r="E647" t="s">
        <v>482</v>
      </c>
      <c r="F647" t="s">
        <v>14</v>
      </c>
      <c r="G647">
        <v>2</v>
      </c>
      <c r="H647">
        <v>393</v>
      </c>
      <c r="I647">
        <v>3.2</v>
      </c>
      <c r="J647" t="s">
        <v>523</v>
      </c>
    </row>
    <row r="648" spans="1:10" x14ac:dyDescent="0.25">
      <c r="A648">
        <v>26</v>
      </c>
      <c r="B648" t="s">
        <v>544</v>
      </c>
      <c r="C648" t="s">
        <v>26</v>
      </c>
      <c r="D648">
        <v>15</v>
      </c>
      <c r="E648" t="s">
        <v>471</v>
      </c>
      <c r="F648" t="s">
        <v>23</v>
      </c>
      <c r="G648">
        <v>20</v>
      </c>
      <c r="H648">
        <v>405</v>
      </c>
      <c r="I648">
        <v>31.5</v>
      </c>
      <c r="J648" t="s">
        <v>523</v>
      </c>
    </row>
    <row r="649" spans="1:10" x14ac:dyDescent="0.25">
      <c r="A649">
        <v>26</v>
      </c>
      <c r="B649" t="s">
        <v>544</v>
      </c>
      <c r="C649" t="s">
        <v>26</v>
      </c>
      <c r="D649">
        <v>21</v>
      </c>
      <c r="E649" t="s">
        <v>476</v>
      </c>
      <c r="F649" t="s">
        <v>28</v>
      </c>
      <c r="G649">
        <v>26</v>
      </c>
      <c r="H649">
        <v>868</v>
      </c>
      <c r="I649">
        <v>19.100000000000001</v>
      </c>
      <c r="J649" t="s">
        <v>523</v>
      </c>
    </row>
    <row r="650" spans="1:10" x14ac:dyDescent="0.25">
      <c r="A650">
        <v>24</v>
      </c>
      <c r="B650" t="s">
        <v>494</v>
      </c>
      <c r="C650" t="s">
        <v>19</v>
      </c>
      <c r="D650">
        <v>18</v>
      </c>
      <c r="E650" t="s">
        <v>532</v>
      </c>
      <c r="F650" t="s">
        <v>23</v>
      </c>
      <c r="G650">
        <v>20</v>
      </c>
      <c r="H650">
        <v>1021</v>
      </c>
      <c r="I650">
        <v>12.5</v>
      </c>
      <c r="J650" t="s">
        <v>523</v>
      </c>
    </row>
    <row r="651" spans="1:10" x14ac:dyDescent="0.25">
      <c r="A651">
        <v>24</v>
      </c>
      <c r="B651" t="s">
        <v>494</v>
      </c>
      <c r="C651" t="s">
        <v>19</v>
      </c>
      <c r="D651">
        <v>24</v>
      </c>
      <c r="E651" t="s">
        <v>524</v>
      </c>
      <c r="F651" t="s">
        <v>28</v>
      </c>
      <c r="G651">
        <v>4</v>
      </c>
      <c r="H651">
        <v>438</v>
      </c>
      <c r="I651">
        <v>5.8</v>
      </c>
      <c r="J651" t="s">
        <v>523</v>
      </c>
    </row>
    <row r="652" spans="1:10" x14ac:dyDescent="0.25">
      <c r="A652">
        <v>24</v>
      </c>
      <c r="B652" t="s">
        <v>494</v>
      </c>
      <c r="C652" t="s">
        <v>19</v>
      </c>
      <c r="D652">
        <v>25</v>
      </c>
      <c r="E652" t="s">
        <v>525</v>
      </c>
      <c r="F652" t="s">
        <v>25</v>
      </c>
      <c r="G652">
        <v>48</v>
      </c>
      <c r="H652">
        <v>1189</v>
      </c>
      <c r="I652">
        <v>25.7</v>
      </c>
      <c r="J652" t="s">
        <v>523</v>
      </c>
    </row>
    <row r="653" spans="1:10" x14ac:dyDescent="0.25">
      <c r="A653">
        <v>24</v>
      </c>
      <c r="B653" t="s">
        <v>494</v>
      </c>
      <c r="C653" t="s">
        <v>19</v>
      </c>
      <c r="D653">
        <v>16</v>
      </c>
      <c r="E653" t="s">
        <v>513</v>
      </c>
      <c r="F653" t="s">
        <v>14</v>
      </c>
      <c r="G653">
        <v>3</v>
      </c>
      <c r="H653">
        <v>233</v>
      </c>
      <c r="I653">
        <v>8.1999999999999993</v>
      </c>
      <c r="J653" t="s">
        <v>523</v>
      </c>
    </row>
    <row r="654" spans="1:10" x14ac:dyDescent="0.25">
      <c r="A654">
        <v>24</v>
      </c>
      <c r="B654" t="s">
        <v>494</v>
      </c>
      <c r="C654" t="s">
        <v>19</v>
      </c>
      <c r="D654">
        <v>13</v>
      </c>
      <c r="E654" t="s">
        <v>481</v>
      </c>
      <c r="F654" t="s">
        <v>17</v>
      </c>
      <c r="G654">
        <v>10</v>
      </c>
      <c r="H654">
        <v>266</v>
      </c>
      <c r="I654">
        <v>23.9</v>
      </c>
      <c r="J654" t="s">
        <v>523</v>
      </c>
    </row>
    <row r="655" spans="1:10" x14ac:dyDescent="0.25">
      <c r="A655">
        <v>23</v>
      </c>
      <c r="B655" t="s">
        <v>545</v>
      </c>
      <c r="C655" t="s">
        <v>26</v>
      </c>
      <c r="D655">
        <v>30</v>
      </c>
      <c r="E655" t="s">
        <v>530</v>
      </c>
      <c r="F655" t="s">
        <v>14</v>
      </c>
      <c r="G655">
        <v>38</v>
      </c>
      <c r="H655">
        <v>723</v>
      </c>
      <c r="I655">
        <v>33.5</v>
      </c>
      <c r="J655" t="s">
        <v>523</v>
      </c>
    </row>
    <row r="656" spans="1:10" x14ac:dyDescent="0.25">
      <c r="A656">
        <v>23</v>
      </c>
      <c r="B656" t="s">
        <v>545</v>
      </c>
      <c r="C656" t="s">
        <v>26</v>
      </c>
      <c r="D656">
        <v>31</v>
      </c>
      <c r="E656" t="s">
        <v>496</v>
      </c>
      <c r="F656" t="s">
        <v>28</v>
      </c>
      <c r="G656">
        <v>19</v>
      </c>
      <c r="H656">
        <v>486</v>
      </c>
      <c r="I656">
        <v>24.9</v>
      </c>
      <c r="J656" t="s">
        <v>523</v>
      </c>
    </row>
    <row r="657" spans="1:10" x14ac:dyDescent="0.25">
      <c r="A657">
        <v>23</v>
      </c>
      <c r="B657" t="s">
        <v>545</v>
      </c>
      <c r="C657" t="s">
        <v>26</v>
      </c>
      <c r="D657">
        <v>33</v>
      </c>
      <c r="E657" t="s">
        <v>490</v>
      </c>
      <c r="F657" t="s">
        <v>23</v>
      </c>
      <c r="G657">
        <v>6</v>
      </c>
      <c r="H657">
        <v>270</v>
      </c>
      <c r="I657">
        <v>14.2</v>
      </c>
      <c r="J657" t="s">
        <v>523</v>
      </c>
    </row>
    <row r="658" spans="1:10" x14ac:dyDescent="0.25">
      <c r="A658">
        <v>25</v>
      </c>
      <c r="B658" t="s">
        <v>495</v>
      </c>
      <c r="C658" t="s">
        <v>19</v>
      </c>
      <c r="D658">
        <v>1</v>
      </c>
      <c r="E658" t="s">
        <v>466</v>
      </c>
      <c r="F658" t="s">
        <v>23</v>
      </c>
      <c r="G658">
        <v>8</v>
      </c>
      <c r="H658">
        <v>1074</v>
      </c>
      <c r="I658">
        <v>4.7</v>
      </c>
      <c r="J658" t="s">
        <v>523</v>
      </c>
    </row>
    <row r="659" spans="1:10" x14ac:dyDescent="0.25">
      <c r="A659">
        <v>25</v>
      </c>
      <c r="B659" t="s">
        <v>495</v>
      </c>
      <c r="C659" t="s">
        <v>19</v>
      </c>
      <c r="D659">
        <v>2</v>
      </c>
      <c r="E659" t="s">
        <v>462</v>
      </c>
      <c r="F659" t="s">
        <v>23</v>
      </c>
      <c r="G659">
        <v>18</v>
      </c>
      <c r="H659">
        <v>786</v>
      </c>
      <c r="I659">
        <v>14.6</v>
      </c>
      <c r="J659" t="s">
        <v>523</v>
      </c>
    </row>
    <row r="660" spans="1:10" x14ac:dyDescent="0.25">
      <c r="A660">
        <v>25</v>
      </c>
      <c r="B660" t="s">
        <v>495</v>
      </c>
      <c r="C660" t="s">
        <v>19</v>
      </c>
      <c r="D660">
        <v>3</v>
      </c>
      <c r="E660" t="s">
        <v>493</v>
      </c>
      <c r="F660" t="s">
        <v>25</v>
      </c>
      <c r="G660">
        <v>43</v>
      </c>
      <c r="H660">
        <v>1207</v>
      </c>
      <c r="I660">
        <v>22.7</v>
      </c>
      <c r="J660" t="s">
        <v>523</v>
      </c>
    </row>
    <row r="661" spans="1:10" x14ac:dyDescent="0.25">
      <c r="A661">
        <v>25</v>
      </c>
      <c r="B661" t="s">
        <v>495</v>
      </c>
      <c r="C661" t="s">
        <v>19</v>
      </c>
      <c r="D661">
        <v>6</v>
      </c>
      <c r="E661" t="s">
        <v>527</v>
      </c>
      <c r="F661" t="s">
        <v>17</v>
      </c>
      <c r="G661">
        <v>3</v>
      </c>
      <c r="H661">
        <v>3439</v>
      </c>
      <c r="I661">
        <v>0.6</v>
      </c>
      <c r="J661" t="s">
        <v>523</v>
      </c>
    </row>
    <row r="662" spans="1:10" x14ac:dyDescent="0.25">
      <c r="A662">
        <v>25</v>
      </c>
      <c r="B662" t="s">
        <v>495</v>
      </c>
      <c r="C662" t="s">
        <v>19</v>
      </c>
      <c r="D662">
        <v>7</v>
      </c>
      <c r="E662" t="s">
        <v>528</v>
      </c>
      <c r="F662" t="s">
        <v>28</v>
      </c>
      <c r="G662">
        <v>7</v>
      </c>
      <c r="H662">
        <v>720</v>
      </c>
      <c r="I662">
        <v>6.2</v>
      </c>
      <c r="J662" t="s">
        <v>523</v>
      </c>
    </row>
    <row r="663" spans="1:10" x14ac:dyDescent="0.25">
      <c r="A663">
        <v>25</v>
      </c>
      <c r="B663" t="s">
        <v>495</v>
      </c>
      <c r="C663" t="s">
        <v>19</v>
      </c>
      <c r="D663">
        <v>8</v>
      </c>
      <c r="E663" t="s">
        <v>529</v>
      </c>
      <c r="F663" t="s">
        <v>14</v>
      </c>
      <c r="G663">
        <v>66</v>
      </c>
      <c r="H663">
        <v>1262</v>
      </c>
      <c r="I663">
        <v>33.299999999999997</v>
      </c>
      <c r="J663" t="s">
        <v>523</v>
      </c>
    </row>
    <row r="664" spans="1:10" x14ac:dyDescent="0.25">
      <c r="A664">
        <v>25</v>
      </c>
      <c r="B664" t="s">
        <v>495</v>
      </c>
      <c r="C664" t="s">
        <v>19</v>
      </c>
      <c r="D664">
        <v>9</v>
      </c>
      <c r="E664" t="s">
        <v>468</v>
      </c>
      <c r="F664" t="s">
        <v>23</v>
      </c>
      <c r="G664">
        <v>9</v>
      </c>
      <c r="H664">
        <v>924</v>
      </c>
      <c r="I664">
        <v>6.2</v>
      </c>
      <c r="J664" t="s">
        <v>523</v>
      </c>
    </row>
    <row r="665" spans="1:10" x14ac:dyDescent="0.25">
      <c r="A665">
        <v>25</v>
      </c>
      <c r="B665" t="s">
        <v>495</v>
      </c>
      <c r="C665" t="s">
        <v>19</v>
      </c>
      <c r="D665">
        <v>10</v>
      </c>
      <c r="E665" t="s">
        <v>534</v>
      </c>
      <c r="F665" t="s">
        <v>23</v>
      </c>
      <c r="G665">
        <v>8</v>
      </c>
      <c r="H665">
        <v>831</v>
      </c>
      <c r="I665">
        <v>6.1</v>
      </c>
      <c r="J665" t="s">
        <v>523</v>
      </c>
    </row>
    <row r="666" spans="1:10" x14ac:dyDescent="0.25">
      <c r="A666">
        <v>25</v>
      </c>
      <c r="B666" t="s">
        <v>495</v>
      </c>
      <c r="C666" t="s">
        <v>19</v>
      </c>
      <c r="D666">
        <v>11</v>
      </c>
      <c r="E666" t="s">
        <v>469</v>
      </c>
      <c r="F666" t="s">
        <v>25</v>
      </c>
      <c r="G666">
        <v>3</v>
      </c>
      <c r="H666">
        <v>262</v>
      </c>
      <c r="I666">
        <v>7.3</v>
      </c>
      <c r="J666" t="s">
        <v>523</v>
      </c>
    </row>
    <row r="667" spans="1:10" x14ac:dyDescent="0.25">
      <c r="A667">
        <v>25</v>
      </c>
      <c r="B667" t="s">
        <v>495</v>
      </c>
      <c r="C667" t="s">
        <v>19</v>
      </c>
      <c r="D667">
        <v>13</v>
      </c>
      <c r="E667" t="s">
        <v>481</v>
      </c>
      <c r="F667" t="s">
        <v>17</v>
      </c>
      <c r="G667">
        <v>23</v>
      </c>
      <c r="H667">
        <v>458</v>
      </c>
      <c r="I667">
        <v>32</v>
      </c>
      <c r="J667" t="s">
        <v>523</v>
      </c>
    </row>
    <row r="668" spans="1:10" x14ac:dyDescent="0.25">
      <c r="A668">
        <v>25</v>
      </c>
      <c r="B668" t="s">
        <v>495</v>
      </c>
      <c r="C668" t="s">
        <v>19</v>
      </c>
      <c r="D668">
        <v>14</v>
      </c>
      <c r="E668" t="s">
        <v>482</v>
      </c>
      <c r="F668" t="s">
        <v>14</v>
      </c>
      <c r="G668">
        <v>20</v>
      </c>
      <c r="H668">
        <v>395</v>
      </c>
      <c r="I668">
        <v>32.299999999999997</v>
      </c>
      <c r="J668" t="s">
        <v>523</v>
      </c>
    </row>
    <row r="669" spans="1:10" x14ac:dyDescent="0.25">
      <c r="A669">
        <v>25</v>
      </c>
      <c r="B669" t="s">
        <v>495</v>
      </c>
      <c r="C669" t="s">
        <v>19</v>
      </c>
      <c r="D669">
        <v>15</v>
      </c>
      <c r="E669" t="s">
        <v>471</v>
      </c>
      <c r="F669" t="s">
        <v>23</v>
      </c>
      <c r="G669">
        <v>13</v>
      </c>
      <c r="H669">
        <v>561</v>
      </c>
      <c r="I669">
        <v>14.8</v>
      </c>
      <c r="J669" t="s">
        <v>523</v>
      </c>
    </row>
    <row r="670" spans="1:10" x14ac:dyDescent="0.25">
      <c r="A670">
        <v>25</v>
      </c>
      <c r="B670" t="s">
        <v>495</v>
      </c>
      <c r="C670" t="s">
        <v>19</v>
      </c>
      <c r="D670">
        <v>17</v>
      </c>
      <c r="E670" t="s">
        <v>531</v>
      </c>
      <c r="F670" t="s">
        <v>25</v>
      </c>
      <c r="G670">
        <v>4</v>
      </c>
      <c r="H670">
        <v>522</v>
      </c>
      <c r="I670">
        <v>4.9000000000000004</v>
      </c>
      <c r="J670" t="s">
        <v>523</v>
      </c>
    </row>
    <row r="671" spans="1:10" x14ac:dyDescent="0.25">
      <c r="A671">
        <v>25</v>
      </c>
      <c r="B671" t="s">
        <v>495</v>
      </c>
      <c r="C671" t="s">
        <v>19</v>
      </c>
      <c r="D671">
        <v>18</v>
      </c>
      <c r="E671" t="s">
        <v>532</v>
      </c>
      <c r="F671" t="s">
        <v>23</v>
      </c>
      <c r="G671">
        <v>34</v>
      </c>
      <c r="H671">
        <v>1467</v>
      </c>
      <c r="I671">
        <v>14.8</v>
      </c>
      <c r="J671" t="s">
        <v>523</v>
      </c>
    </row>
    <row r="672" spans="1:10" x14ac:dyDescent="0.25">
      <c r="A672">
        <v>25</v>
      </c>
      <c r="B672" t="s">
        <v>495</v>
      </c>
      <c r="C672" t="s">
        <v>19</v>
      </c>
      <c r="D672">
        <v>19</v>
      </c>
      <c r="E672" t="s">
        <v>522</v>
      </c>
      <c r="F672" t="s">
        <v>25</v>
      </c>
      <c r="G672">
        <v>28</v>
      </c>
      <c r="H672">
        <v>1353</v>
      </c>
      <c r="I672">
        <v>13.2</v>
      </c>
      <c r="J672" t="s">
        <v>523</v>
      </c>
    </row>
    <row r="673" spans="1:10" x14ac:dyDescent="0.25">
      <c r="A673">
        <v>22</v>
      </c>
      <c r="B673" t="s">
        <v>492</v>
      </c>
      <c r="C673" t="s">
        <v>26</v>
      </c>
      <c r="D673">
        <v>29</v>
      </c>
      <c r="E673" t="s">
        <v>472</v>
      </c>
      <c r="F673" t="s">
        <v>23</v>
      </c>
      <c r="G673">
        <v>5</v>
      </c>
      <c r="H673">
        <v>134</v>
      </c>
      <c r="I673">
        <v>23.8</v>
      </c>
      <c r="J673" t="s">
        <v>523</v>
      </c>
    </row>
    <row r="674" spans="1:10" x14ac:dyDescent="0.25">
      <c r="A674">
        <v>22</v>
      </c>
      <c r="B674" t="s">
        <v>492</v>
      </c>
      <c r="C674" t="s">
        <v>26</v>
      </c>
      <c r="D674">
        <v>30</v>
      </c>
      <c r="E674" t="s">
        <v>530</v>
      </c>
      <c r="F674" t="s">
        <v>14</v>
      </c>
      <c r="G674">
        <v>22</v>
      </c>
      <c r="H674">
        <v>743</v>
      </c>
      <c r="I674">
        <v>18.899999999999999</v>
      </c>
      <c r="J674" t="s">
        <v>523</v>
      </c>
    </row>
    <row r="675" spans="1:10" x14ac:dyDescent="0.25">
      <c r="A675">
        <v>22</v>
      </c>
      <c r="B675" t="s">
        <v>492</v>
      </c>
      <c r="C675" t="s">
        <v>26</v>
      </c>
      <c r="D675">
        <v>31</v>
      </c>
      <c r="E675" t="s">
        <v>496</v>
      </c>
      <c r="F675" t="s">
        <v>28</v>
      </c>
      <c r="G675">
        <v>34</v>
      </c>
      <c r="H675">
        <v>1036</v>
      </c>
      <c r="I675">
        <v>20.9</v>
      </c>
      <c r="J675" t="s">
        <v>523</v>
      </c>
    </row>
    <row r="676" spans="1:10" x14ac:dyDescent="0.25">
      <c r="A676">
        <v>22</v>
      </c>
      <c r="B676" t="s">
        <v>492</v>
      </c>
      <c r="C676" t="s">
        <v>26</v>
      </c>
      <c r="D676">
        <v>4</v>
      </c>
      <c r="E676" t="s">
        <v>504</v>
      </c>
      <c r="F676" t="s">
        <v>14</v>
      </c>
      <c r="G676">
        <v>6</v>
      </c>
      <c r="H676">
        <v>279</v>
      </c>
      <c r="I676">
        <v>13.7</v>
      </c>
      <c r="J676" t="s">
        <v>523</v>
      </c>
    </row>
    <row r="677" spans="1:10" x14ac:dyDescent="0.25">
      <c r="A677">
        <v>22</v>
      </c>
      <c r="B677" t="s">
        <v>492</v>
      </c>
      <c r="C677" t="s">
        <v>26</v>
      </c>
      <c r="D677">
        <v>25</v>
      </c>
      <c r="E677" t="s">
        <v>525</v>
      </c>
      <c r="F677" t="s">
        <v>25</v>
      </c>
      <c r="G677">
        <v>6</v>
      </c>
      <c r="H677">
        <v>2230</v>
      </c>
      <c r="I677">
        <v>1.7</v>
      </c>
      <c r="J677" t="s">
        <v>523</v>
      </c>
    </row>
    <row r="678" spans="1:10" x14ac:dyDescent="0.25">
      <c r="A678">
        <v>22</v>
      </c>
      <c r="B678" t="s">
        <v>492</v>
      </c>
      <c r="C678" t="s">
        <v>26</v>
      </c>
      <c r="D678">
        <v>16</v>
      </c>
      <c r="E678" t="s">
        <v>513</v>
      </c>
      <c r="F678" t="s">
        <v>14</v>
      </c>
      <c r="G678">
        <v>3</v>
      </c>
      <c r="H678">
        <v>355</v>
      </c>
      <c r="I678">
        <v>5.4</v>
      </c>
      <c r="J678" t="s">
        <v>523</v>
      </c>
    </row>
    <row r="679" spans="1:10" x14ac:dyDescent="0.25">
      <c r="A679">
        <v>22</v>
      </c>
      <c r="B679" t="s">
        <v>492</v>
      </c>
      <c r="C679" t="s">
        <v>26</v>
      </c>
      <c r="D679">
        <v>17</v>
      </c>
      <c r="E679" t="s">
        <v>531</v>
      </c>
      <c r="F679" t="s">
        <v>25</v>
      </c>
      <c r="G679">
        <v>10</v>
      </c>
      <c r="H679">
        <v>290</v>
      </c>
      <c r="I679">
        <v>22</v>
      </c>
      <c r="J679" t="s">
        <v>523</v>
      </c>
    </row>
    <row r="680" spans="1:10" x14ac:dyDescent="0.25">
      <c r="A680">
        <v>22</v>
      </c>
      <c r="B680" t="s">
        <v>492</v>
      </c>
      <c r="C680" t="s">
        <v>26</v>
      </c>
      <c r="D680">
        <v>18</v>
      </c>
      <c r="E680" t="s">
        <v>532</v>
      </c>
      <c r="F680" t="s">
        <v>23</v>
      </c>
      <c r="G680">
        <v>13</v>
      </c>
      <c r="H680">
        <v>1223</v>
      </c>
      <c r="I680">
        <v>6.8</v>
      </c>
      <c r="J680" t="s">
        <v>523</v>
      </c>
    </row>
    <row r="681" spans="1:10" x14ac:dyDescent="0.25">
      <c r="A681">
        <v>22</v>
      </c>
      <c r="B681" t="s">
        <v>492</v>
      </c>
      <c r="C681" t="s">
        <v>26</v>
      </c>
      <c r="D681">
        <v>19</v>
      </c>
      <c r="E681" t="s">
        <v>522</v>
      </c>
      <c r="F681" t="s">
        <v>25</v>
      </c>
      <c r="G681">
        <v>17</v>
      </c>
      <c r="H681">
        <v>1161</v>
      </c>
      <c r="I681">
        <v>9.3000000000000007</v>
      </c>
      <c r="J681" t="s">
        <v>523</v>
      </c>
    </row>
    <row r="682" spans="1:10" x14ac:dyDescent="0.25">
      <c r="A682">
        <v>22</v>
      </c>
      <c r="B682" t="s">
        <v>492</v>
      </c>
      <c r="C682" t="s">
        <v>26</v>
      </c>
      <c r="D682">
        <v>21</v>
      </c>
      <c r="E682" t="s">
        <v>476</v>
      </c>
      <c r="F682" t="s">
        <v>28</v>
      </c>
      <c r="G682">
        <v>30</v>
      </c>
      <c r="H682">
        <v>1080</v>
      </c>
      <c r="I682">
        <v>17.7</v>
      </c>
      <c r="J682" t="s">
        <v>523</v>
      </c>
    </row>
    <row r="683" spans="1:10" x14ac:dyDescent="0.25">
      <c r="A683">
        <v>21</v>
      </c>
      <c r="B683" t="s">
        <v>537</v>
      </c>
      <c r="C683" t="s">
        <v>19</v>
      </c>
      <c r="D683">
        <v>29</v>
      </c>
      <c r="E683" t="s">
        <v>472</v>
      </c>
      <c r="F683" t="s">
        <v>23</v>
      </c>
      <c r="G683">
        <v>8</v>
      </c>
      <c r="H683">
        <v>163</v>
      </c>
      <c r="I683">
        <v>31.3</v>
      </c>
      <c r="J683" t="s">
        <v>523</v>
      </c>
    </row>
    <row r="684" spans="1:10" x14ac:dyDescent="0.25">
      <c r="A684">
        <v>21</v>
      </c>
      <c r="B684" t="s">
        <v>537</v>
      </c>
      <c r="C684" t="s">
        <v>19</v>
      </c>
      <c r="D684">
        <v>30</v>
      </c>
      <c r="E684" t="s">
        <v>530</v>
      </c>
      <c r="F684" t="s">
        <v>14</v>
      </c>
      <c r="G684">
        <v>49</v>
      </c>
      <c r="H684">
        <v>986</v>
      </c>
      <c r="I684">
        <v>31.7</v>
      </c>
      <c r="J684" t="s">
        <v>523</v>
      </c>
    </row>
    <row r="685" spans="1:10" x14ac:dyDescent="0.25">
      <c r="A685">
        <v>21</v>
      </c>
      <c r="B685" t="s">
        <v>537</v>
      </c>
      <c r="C685" t="s">
        <v>19</v>
      </c>
      <c r="D685">
        <v>31</v>
      </c>
      <c r="E685" t="s">
        <v>496</v>
      </c>
      <c r="F685" t="s">
        <v>28</v>
      </c>
      <c r="G685">
        <v>19</v>
      </c>
      <c r="H685">
        <v>786</v>
      </c>
      <c r="I685">
        <v>15.4</v>
      </c>
      <c r="J685" t="s">
        <v>523</v>
      </c>
    </row>
    <row r="686" spans="1:10" x14ac:dyDescent="0.25">
      <c r="A686">
        <v>21</v>
      </c>
      <c r="B686" t="s">
        <v>537</v>
      </c>
      <c r="C686" t="s">
        <v>19</v>
      </c>
      <c r="D686">
        <v>32</v>
      </c>
      <c r="E686" t="s">
        <v>507</v>
      </c>
      <c r="F686" t="s">
        <v>28</v>
      </c>
      <c r="G686">
        <v>3</v>
      </c>
      <c r="H686">
        <v>77</v>
      </c>
      <c r="I686">
        <v>24.8</v>
      </c>
      <c r="J686" t="s">
        <v>523</v>
      </c>
    </row>
    <row r="687" spans="1:10" x14ac:dyDescent="0.25">
      <c r="A687">
        <v>20</v>
      </c>
      <c r="B687" t="s">
        <v>491</v>
      </c>
      <c r="C687" t="s">
        <v>19</v>
      </c>
      <c r="D687">
        <v>27</v>
      </c>
      <c r="E687" t="s">
        <v>526</v>
      </c>
      <c r="F687" t="s">
        <v>25</v>
      </c>
      <c r="G687">
        <v>12</v>
      </c>
      <c r="H687">
        <v>439</v>
      </c>
      <c r="I687">
        <v>17.399999999999999</v>
      </c>
      <c r="J687" t="s">
        <v>523</v>
      </c>
    </row>
    <row r="688" spans="1:10" x14ac:dyDescent="0.25">
      <c r="A688">
        <v>20</v>
      </c>
      <c r="B688" t="s">
        <v>491</v>
      </c>
      <c r="C688" t="s">
        <v>19</v>
      </c>
      <c r="D688">
        <v>28</v>
      </c>
      <c r="E688" t="s">
        <v>477</v>
      </c>
      <c r="F688" t="s">
        <v>25</v>
      </c>
      <c r="G688">
        <v>3</v>
      </c>
      <c r="H688">
        <v>68</v>
      </c>
      <c r="I688">
        <v>28.1</v>
      </c>
      <c r="J688" t="s">
        <v>523</v>
      </c>
    </row>
    <row r="689" spans="1:10" x14ac:dyDescent="0.25">
      <c r="A689">
        <v>21</v>
      </c>
      <c r="B689" t="s">
        <v>537</v>
      </c>
      <c r="C689" t="s">
        <v>19</v>
      </c>
      <c r="D689">
        <v>34</v>
      </c>
      <c r="E689" t="s">
        <v>467</v>
      </c>
      <c r="F689" t="s">
        <v>17</v>
      </c>
      <c r="G689">
        <v>16</v>
      </c>
      <c r="H689">
        <v>309</v>
      </c>
      <c r="I689">
        <v>33</v>
      </c>
      <c r="J689" t="s">
        <v>523</v>
      </c>
    </row>
    <row r="690" spans="1:10" x14ac:dyDescent="0.25">
      <c r="A690">
        <v>22</v>
      </c>
      <c r="B690" t="s">
        <v>492</v>
      </c>
      <c r="C690" t="s">
        <v>26</v>
      </c>
      <c r="D690">
        <v>1</v>
      </c>
      <c r="E690" t="s">
        <v>466</v>
      </c>
      <c r="F690" t="s">
        <v>23</v>
      </c>
      <c r="G690">
        <v>10</v>
      </c>
      <c r="H690">
        <v>892</v>
      </c>
      <c r="I690">
        <v>7.1</v>
      </c>
      <c r="J690" t="s">
        <v>523</v>
      </c>
    </row>
    <row r="691" spans="1:10" x14ac:dyDescent="0.25">
      <c r="A691">
        <v>22</v>
      </c>
      <c r="B691" t="s">
        <v>492</v>
      </c>
      <c r="C691" t="s">
        <v>26</v>
      </c>
      <c r="D691">
        <v>2</v>
      </c>
      <c r="E691" t="s">
        <v>462</v>
      </c>
      <c r="F691" t="s">
        <v>23</v>
      </c>
      <c r="G691">
        <v>25</v>
      </c>
      <c r="H691">
        <v>941</v>
      </c>
      <c r="I691">
        <v>16.899999999999999</v>
      </c>
      <c r="J691" t="s">
        <v>523</v>
      </c>
    </row>
    <row r="692" spans="1:10" x14ac:dyDescent="0.25">
      <c r="A692">
        <v>22</v>
      </c>
      <c r="B692" t="s">
        <v>492</v>
      </c>
      <c r="C692" t="s">
        <v>26</v>
      </c>
      <c r="D692">
        <v>6</v>
      </c>
      <c r="E692" t="s">
        <v>527</v>
      </c>
      <c r="F692" t="s">
        <v>17</v>
      </c>
      <c r="G692">
        <v>8</v>
      </c>
      <c r="H692">
        <v>2439</v>
      </c>
      <c r="I692">
        <v>2.1</v>
      </c>
      <c r="J692" t="s">
        <v>523</v>
      </c>
    </row>
    <row r="693" spans="1:10" x14ac:dyDescent="0.25">
      <c r="A693">
        <v>22</v>
      </c>
      <c r="B693" t="s">
        <v>492</v>
      </c>
      <c r="C693" t="s">
        <v>26</v>
      </c>
      <c r="D693">
        <v>7</v>
      </c>
      <c r="E693" t="s">
        <v>528</v>
      </c>
      <c r="F693" t="s">
        <v>28</v>
      </c>
      <c r="G693">
        <v>30</v>
      </c>
      <c r="H693">
        <v>550</v>
      </c>
      <c r="I693">
        <v>34.700000000000003</v>
      </c>
      <c r="J693" t="s">
        <v>523</v>
      </c>
    </row>
    <row r="694" spans="1:10" x14ac:dyDescent="0.25">
      <c r="A694">
        <v>22</v>
      </c>
      <c r="B694" t="s">
        <v>492</v>
      </c>
      <c r="C694" t="s">
        <v>26</v>
      </c>
      <c r="D694">
        <v>8</v>
      </c>
      <c r="E694" t="s">
        <v>529</v>
      </c>
      <c r="F694" t="s">
        <v>14</v>
      </c>
      <c r="G694">
        <v>71</v>
      </c>
      <c r="H694">
        <v>1825</v>
      </c>
      <c r="I694">
        <v>24.8</v>
      </c>
      <c r="J694" t="s">
        <v>523</v>
      </c>
    </row>
    <row r="695" spans="1:10" x14ac:dyDescent="0.25">
      <c r="A695">
        <v>22</v>
      </c>
      <c r="B695" t="s">
        <v>492</v>
      </c>
      <c r="C695" t="s">
        <v>26</v>
      </c>
      <c r="D695">
        <v>9</v>
      </c>
      <c r="E695" t="s">
        <v>468</v>
      </c>
      <c r="F695" t="s">
        <v>23</v>
      </c>
      <c r="G695">
        <v>14</v>
      </c>
      <c r="H695">
        <v>692</v>
      </c>
      <c r="I695">
        <v>12.9</v>
      </c>
      <c r="J695" t="s">
        <v>523</v>
      </c>
    </row>
    <row r="696" spans="1:10" x14ac:dyDescent="0.25">
      <c r="A696">
        <v>22</v>
      </c>
      <c r="B696" t="s">
        <v>492</v>
      </c>
      <c r="C696" t="s">
        <v>26</v>
      </c>
      <c r="D696">
        <v>11</v>
      </c>
      <c r="E696" t="s">
        <v>469</v>
      </c>
      <c r="F696" t="s">
        <v>25</v>
      </c>
      <c r="G696">
        <v>7</v>
      </c>
      <c r="H696">
        <v>207</v>
      </c>
      <c r="I696">
        <v>21.5</v>
      </c>
      <c r="J696" t="s">
        <v>523</v>
      </c>
    </row>
    <row r="697" spans="1:10" x14ac:dyDescent="0.25">
      <c r="A697">
        <v>22</v>
      </c>
      <c r="B697" t="s">
        <v>492</v>
      </c>
      <c r="C697" t="s">
        <v>26</v>
      </c>
      <c r="D697">
        <v>12</v>
      </c>
      <c r="E697" t="s">
        <v>475</v>
      </c>
      <c r="F697" t="s">
        <v>28</v>
      </c>
      <c r="G697">
        <v>3</v>
      </c>
      <c r="H697">
        <v>94</v>
      </c>
      <c r="I697">
        <v>20.3</v>
      </c>
      <c r="J697" t="s">
        <v>523</v>
      </c>
    </row>
    <row r="698" spans="1:10" x14ac:dyDescent="0.25">
      <c r="A698">
        <v>22</v>
      </c>
      <c r="B698" t="s">
        <v>492</v>
      </c>
      <c r="C698" t="s">
        <v>26</v>
      </c>
      <c r="D698">
        <v>13</v>
      </c>
      <c r="E698" t="s">
        <v>481</v>
      </c>
      <c r="F698" t="s">
        <v>17</v>
      </c>
      <c r="G698">
        <v>19</v>
      </c>
      <c r="H698">
        <v>448</v>
      </c>
      <c r="I698">
        <v>27</v>
      </c>
      <c r="J698" t="s">
        <v>523</v>
      </c>
    </row>
    <row r="699" spans="1:10" x14ac:dyDescent="0.25">
      <c r="A699">
        <v>22</v>
      </c>
      <c r="B699" t="s">
        <v>492</v>
      </c>
      <c r="C699" t="s">
        <v>26</v>
      </c>
      <c r="D699">
        <v>14</v>
      </c>
      <c r="E699" t="s">
        <v>482</v>
      </c>
      <c r="F699" t="s">
        <v>14</v>
      </c>
      <c r="G699">
        <v>5</v>
      </c>
      <c r="H699">
        <v>254</v>
      </c>
      <c r="I699">
        <v>12.5</v>
      </c>
      <c r="J699" t="s">
        <v>523</v>
      </c>
    </row>
    <row r="700" spans="1:10" x14ac:dyDescent="0.25">
      <c r="A700">
        <v>22</v>
      </c>
      <c r="B700" t="s">
        <v>492</v>
      </c>
      <c r="C700" t="s">
        <v>26</v>
      </c>
      <c r="D700">
        <v>34</v>
      </c>
      <c r="E700" t="s">
        <v>467</v>
      </c>
      <c r="F700" t="s">
        <v>17</v>
      </c>
      <c r="G700">
        <v>6</v>
      </c>
      <c r="H700">
        <v>198</v>
      </c>
      <c r="I700">
        <v>19.3</v>
      </c>
      <c r="J700" t="s">
        <v>523</v>
      </c>
    </row>
    <row r="701" spans="1:10" x14ac:dyDescent="0.25">
      <c r="A701">
        <v>22</v>
      </c>
      <c r="B701" t="s">
        <v>492</v>
      </c>
      <c r="C701" t="s">
        <v>26</v>
      </c>
      <c r="D701">
        <v>35</v>
      </c>
      <c r="E701" t="s">
        <v>539</v>
      </c>
      <c r="F701" t="s">
        <v>14</v>
      </c>
      <c r="G701">
        <v>2</v>
      </c>
      <c r="H701">
        <v>149</v>
      </c>
      <c r="I701">
        <v>8.6</v>
      </c>
      <c r="J701" t="s">
        <v>523</v>
      </c>
    </row>
    <row r="702" spans="1:10" x14ac:dyDescent="0.25">
      <c r="A702">
        <v>23</v>
      </c>
      <c r="B702" t="s">
        <v>545</v>
      </c>
      <c r="C702" t="s">
        <v>26</v>
      </c>
      <c r="D702">
        <v>1</v>
      </c>
      <c r="E702" t="s">
        <v>466</v>
      </c>
      <c r="F702" t="s">
        <v>23</v>
      </c>
      <c r="G702">
        <v>4</v>
      </c>
      <c r="H702">
        <v>582</v>
      </c>
      <c r="I702">
        <v>4.4000000000000004</v>
      </c>
      <c r="J702" t="s">
        <v>523</v>
      </c>
    </row>
    <row r="703" spans="1:10" x14ac:dyDescent="0.25">
      <c r="A703">
        <v>23</v>
      </c>
      <c r="B703" t="s">
        <v>545</v>
      </c>
      <c r="C703" t="s">
        <v>26</v>
      </c>
      <c r="D703">
        <v>2</v>
      </c>
      <c r="E703" t="s">
        <v>462</v>
      </c>
      <c r="F703" t="s">
        <v>23</v>
      </c>
      <c r="G703">
        <v>11</v>
      </c>
      <c r="H703">
        <v>667</v>
      </c>
      <c r="I703">
        <v>10.5</v>
      </c>
      <c r="J703" t="s">
        <v>523</v>
      </c>
    </row>
    <row r="704" spans="1:10" x14ac:dyDescent="0.25">
      <c r="A704">
        <v>23</v>
      </c>
      <c r="B704" t="s">
        <v>545</v>
      </c>
      <c r="C704" t="s">
        <v>26</v>
      </c>
      <c r="D704">
        <v>3</v>
      </c>
      <c r="E704" t="s">
        <v>493</v>
      </c>
      <c r="F704" t="s">
        <v>25</v>
      </c>
      <c r="G704">
        <v>5</v>
      </c>
      <c r="H704">
        <v>1357</v>
      </c>
      <c r="I704">
        <v>2.2999999999999998</v>
      </c>
      <c r="J704" t="s">
        <v>523</v>
      </c>
    </row>
    <row r="705" spans="1:10" x14ac:dyDescent="0.25">
      <c r="A705">
        <v>23</v>
      </c>
      <c r="B705" t="s">
        <v>545</v>
      </c>
      <c r="C705" t="s">
        <v>26</v>
      </c>
      <c r="D705">
        <v>4</v>
      </c>
      <c r="E705" t="s">
        <v>504</v>
      </c>
      <c r="F705" t="s">
        <v>14</v>
      </c>
      <c r="G705">
        <v>3</v>
      </c>
      <c r="H705">
        <v>72</v>
      </c>
      <c r="I705">
        <v>26.5</v>
      </c>
      <c r="J705" t="s">
        <v>523</v>
      </c>
    </row>
    <row r="706" spans="1:10" x14ac:dyDescent="0.25">
      <c r="A706">
        <v>23</v>
      </c>
      <c r="B706" t="s">
        <v>545</v>
      </c>
      <c r="C706" t="s">
        <v>26</v>
      </c>
      <c r="D706">
        <v>5</v>
      </c>
      <c r="E706" t="s">
        <v>464</v>
      </c>
      <c r="F706" t="s">
        <v>14</v>
      </c>
      <c r="G706">
        <v>4</v>
      </c>
      <c r="H706">
        <v>137</v>
      </c>
      <c r="I706">
        <v>18.600000000000001</v>
      </c>
      <c r="J706" t="s">
        <v>523</v>
      </c>
    </row>
    <row r="707" spans="1:10" x14ac:dyDescent="0.25">
      <c r="A707">
        <v>23</v>
      </c>
      <c r="B707" t="s">
        <v>545</v>
      </c>
      <c r="C707" t="s">
        <v>26</v>
      </c>
      <c r="D707">
        <v>6</v>
      </c>
      <c r="E707" t="s">
        <v>527</v>
      </c>
      <c r="F707" t="s">
        <v>17</v>
      </c>
      <c r="G707">
        <v>17</v>
      </c>
      <c r="H707">
        <v>1946</v>
      </c>
      <c r="I707">
        <v>5.6</v>
      </c>
      <c r="J707" t="s">
        <v>523</v>
      </c>
    </row>
    <row r="708" spans="1:10" x14ac:dyDescent="0.25">
      <c r="A708">
        <v>23</v>
      </c>
      <c r="B708" t="s">
        <v>545</v>
      </c>
      <c r="C708" t="s">
        <v>26</v>
      </c>
      <c r="D708">
        <v>7</v>
      </c>
      <c r="E708" t="s">
        <v>528</v>
      </c>
      <c r="F708" t="s">
        <v>28</v>
      </c>
      <c r="G708">
        <v>11</v>
      </c>
      <c r="H708">
        <v>465</v>
      </c>
      <c r="I708">
        <v>15.1</v>
      </c>
      <c r="J708" t="s">
        <v>523</v>
      </c>
    </row>
    <row r="709" spans="1:10" x14ac:dyDescent="0.25">
      <c r="A709">
        <v>23</v>
      </c>
      <c r="B709" t="s">
        <v>545</v>
      </c>
      <c r="C709" t="s">
        <v>26</v>
      </c>
      <c r="D709">
        <v>8</v>
      </c>
      <c r="E709" t="s">
        <v>529</v>
      </c>
      <c r="F709" t="s">
        <v>14</v>
      </c>
      <c r="G709">
        <v>32</v>
      </c>
      <c r="H709">
        <v>1913</v>
      </c>
      <c r="I709">
        <v>10.7</v>
      </c>
      <c r="J709" t="s">
        <v>523</v>
      </c>
    </row>
    <row r="710" spans="1:10" x14ac:dyDescent="0.25">
      <c r="A710">
        <v>23</v>
      </c>
      <c r="B710" t="s">
        <v>545</v>
      </c>
      <c r="C710" t="s">
        <v>26</v>
      </c>
      <c r="D710">
        <v>9</v>
      </c>
      <c r="E710" t="s">
        <v>468</v>
      </c>
      <c r="F710" t="s">
        <v>23</v>
      </c>
      <c r="G710">
        <v>9</v>
      </c>
      <c r="H710">
        <v>715</v>
      </c>
      <c r="I710">
        <v>8</v>
      </c>
      <c r="J710" t="s">
        <v>523</v>
      </c>
    </row>
    <row r="711" spans="1:10" x14ac:dyDescent="0.25">
      <c r="A711">
        <v>23</v>
      </c>
      <c r="B711" t="s">
        <v>545</v>
      </c>
      <c r="C711" t="s">
        <v>26</v>
      </c>
      <c r="D711">
        <v>16</v>
      </c>
      <c r="E711" t="s">
        <v>513</v>
      </c>
      <c r="F711" t="s">
        <v>14</v>
      </c>
      <c r="G711">
        <v>7</v>
      </c>
      <c r="H711">
        <v>209</v>
      </c>
      <c r="I711">
        <v>21.3</v>
      </c>
      <c r="J711" t="s">
        <v>523</v>
      </c>
    </row>
    <row r="712" spans="1:10" x14ac:dyDescent="0.25">
      <c r="A712">
        <v>23</v>
      </c>
      <c r="B712" t="s">
        <v>545</v>
      </c>
      <c r="C712" t="s">
        <v>26</v>
      </c>
      <c r="D712">
        <v>17</v>
      </c>
      <c r="E712" t="s">
        <v>531</v>
      </c>
      <c r="F712" t="s">
        <v>25</v>
      </c>
      <c r="G712">
        <v>9</v>
      </c>
      <c r="H712">
        <v>387</v>
      </c>
      <c r="I712">
        <v>14.8</v>
      </c>
      <c r="J712" t="s">
        <v>523</v>
      </c>
    </row>
    <row r="713" spans="1:10" x14ac:dyDescent="0.25">
      <c r="A713">
        <v>23</v>
      </c>
      <c r="B713" t="s">
        <v>545</v>
      </c>
      <c r="C713" t="s">
        <v>26</v>
      </c>
      <c r="D713">
        <v>18</v>
      </c>
      <c r="E713" t="s">
        <v>532</v>
      </c>
      <c r="F713" t="s">
        <v>23</v>
      </c>
      <c r="G713">
        <v>42</v>
      </c>
      <c r="H713">
        <v>1108</v>
      </c>
      <c r="I713">
        <v>24.1</v>
      </c>
      <c r="J713" t="s">
        <v>523</v>
      </c>
    </row>
    <row r="714" spans="1:10" x14ac:dyDescent="0.25">
      <c r="A714">
        <v>23</v>
      </c>
      <c r="B714" t="s">
        <v>545</v>
      </c>
      <c r="C714" t="s">
        <v>26</v>
      </c>
      <c r="D714">
        <v>19</v>
      </c>
      <c r="E714" t="s">
        <v>522</v>
      </c>
      <c r="F714" t="s">
        <v>25</v>
      </c>
      <c r="G714">
        <v>27</v>
      </c>
      <c r="H714">
        <v>882</v>
      </c>
      <c r="I714">
        <v>19.5</v>
      </c>
      <c r="J714" t="s">
        <v>523</v>
      </c>
    </row>
    <row r="715" spans="1:10" x14ac:dyDescent="0.25">
      <c r="A715">
        <v>23</v>
      </c>
      <c r="B715" t="s">
        <v>545</v>
      </c>
      <c r="C715" t="s">
        <v>26</v>
      </c>
      <c r="D715">
        <v>20</v>
      </c>
      <c r="E715" t="s">
        <v>533</v>
      </c>
      <c r="F715" t="s">
        <v>28</v>
      </c>
      <c r="G715">
        <v>2</v>
      </c>
      <c r="H715">
        <v>150</v>
      </c>
      <c r="I715">
        <v>8.5</v>
      </c>
      <c r="J715" t="s">
        <v>523</v>
      </c>
    </row>
    <row r="716" spans="1:10" x14ac:dyDescent="0.25">
      <c r="A716">
        <v>23</v>
      </c>
      <c r="B716" t="s">
        <v>545</v>
      </c>
      <c r="C716" t="s">
        <v>26</v>
      </c>
      <c r="D716">
        <v>21</v>
      </c>
      <c r="E716" t="s">
        <v>476</v>
      </c>
      <c r="F716" t="s">
        <v>28</v>
      </c>
      <c r="G716">
        <v>30</v>
      </c>
      <c r="H716">
        <v>2055</v>
      </c>
      <c r="I716">
        <v>9.3000000000000007</v>
      </c>
      <c r="J716" t="s">
        <v>523</v>
      </c>
    </row>
    <row r="717" spans="1:10" x14ac:dyDescent="0.25">
      <c r="A717">
        <v>23</v>
      </c>
      <c r="B717" t="s">
        <v>545</v>
      </c>
      <c r="C717" t="s">
        <v>26</v>
      </c>
      <c r="D717">
        <v>14</v>
      </c>
      <c r="E717" t="s">
        <v>482</v>
      </c>
      <c r="F717" t="s">
        <v>14</v>
      </c>
      <c r="G717">
        <v>7</v>
      </c>
      <c r="H717">
        <v>212</v>
      </c>
      <c r="I717">
        <v>21</v>
      </c>
      <c r="J717" t="s">
        <v>523</v>
      </c>
    </row>
    <row r="718" spans="1:10" x14ac:dyDescent="0.25">
      <c r="A718">
        <v>23</v>
      </c>
      <c r="B718" t="s">
        <v>545</v>
      </c>
      <c r="C718" t="s">
        <v>26</v>
      </c>
      <c r="D718">
        <v>25</v>
      </c>
      <c r="E718" t="s">
        <v>525</v>
      </c>
      <c r="F718" t="s">
        <v>25</v>
      </c>
      <c r="G718">
        <v>38</v>
      </c>
      <c r="H718">
        <v>969</v>
      </c>
      <c r="I718">
        <v>25</v>
      </c>
      <c r="J718" t="s">
        <v>523</v>
      </c>
    </row>
    <row r="719" spans="1:10" x14ac:dyDescent="0.25">
      <c r="A719">
        <v>23</v>
      </c>
      <c r="B719" t="s">
        <v>545</v>
      </c>
      <c r="C719" t="s">
        <v>26</v>
      </c>
      <c r="D719">
        <v>27</v>
      </c>
      <c r="E719" t="s">
        <v>526</v>
      </c>
      <c r="F719" t="s">
        <v>25</v>
      </c>
      <c r="G719">
        <v>7</v>
      </c>
      <c r="H719">
        <v>291</v>
      </c>
      <c r="I719">
        <v>15.3</v>
      </c>
      <c r="J719" t="s">
        <v>523</v>
      </c>
    </row>
    <row r="720" spans="1:10" x14ac:dyDescent="0.25">
      <c r="A720">
        <v>23</v>
      </c>
      <c r="B720" t="s">
        <v>545</v>
      </c>
      <c r="C720" t="s">
        <v>26</v>
      </c>
      <c r="D720">
        <v>35</v>
      </c>
      <c r="E720" t="s">
        <v>539</v>
      </c>
      <c r="F720" t="s">
        <v>14</v>
      </c>
      <c r="G720">
        <v>4</v>
      </c>
      <c r="H720">
        <v>105</v>
      </c>
      <c r="I720">
        <v>24.3</v>
      </c>
      <c r="J720" t="s">
        <v>523</v>
      </c>
    </row>
    <row r="721" spans="1:10" x14ac:dyDescent="0.25">
      <c r="A721">
        <v>24</v>
      </c>
      <c r="B721" t="s">
        <v>494</v>
      </c>
      <c r="C721" t="s">
        <v>19</v>
      </c>
      <c r="D721">
        <v>1</v>
      </c>
      <c r="E721" t="s">
        <v>466</v>
      </c>
      <c r="F721" t="s">
        <v>23</v>
      </c>
      <c r="G721">
        <v>11</v>
      </c>
      <c r="H721">
        <v>751</v>
      </c>
      <c r="I721">
        <v>9.3000000000000007</v>
      </c>
      <c r="J721" t="s">
        <v>523</v>
      </c>
    </row>
    <row r="722" spans="1:10" x14ac:dyDescent="0.25">
      <c r="A722">
        <v>24</v>
      </c>
      <c r="B722" t="s">
        <v>494</v>
      </c>
      <c r="C722" t="s">
        <v>19</v>
      </c>
      <c r="D722">
        <v>2</v>
      </c>
      <c r="E722" t="s">
        <v>462</v>
      </c>
      <c r="F722" t="s">
        <v>23</v>
      </c>
      <c r="G722">
        <v>25</v>
      </c>
      <c r="H722">
        <v>598</v>
      </c>
      <c r="I722">
        <v>26.6</v>
      </c>
      <c r="J722" t="s">
        <v>523</v>
      </c>
    </row>
    <row r="723" spans="1:10" x14ac:dyDescent="0.25">
      <c r="A723">
        <v>24</v>
      </c>
      <c r="B723" t="s">
        <v>494</v>
      </c>
      <c r="C723" t="s">
        <v>19</v>
      </c>
      <c r="D723">
        <v>3</v>
      </c>
      <c r="E723" t="s">
        <v>493</v>
      </c>
      <c r="F723" t="s">
        <v>25</v>
      </c>
      <c r="G723">
        <v>13</v>
      </c>
      <c r="H723">
        <v>1584</v>
      </c>
      <c r="I723">
        <v>5.2</v>
      </c>
      <c r="J723" t="s">
        <v>523</v>
      </c>
    </row>
    <row r="724" spans="1:10" x14ac:dyDescent="0.25">
      <c r="A724">
        <v>24</v>
      </c>
      <c r="B724" t="s">
        <v>494</v>
      </c>
      <c r="C724" t="s">
        <v>19</v>
      </c>
      <c r="D724">
        <v>4</v>
      </c>
      <c r="E724" t="s">
        <v>504</v>
      </c>
      <c r="F724" t="s">
        <v>14</v>
      </c>
      <c r="G724">
        <v>1</v>
      </c>
      <c r="H724">
        <v>95</v>
      </c>
      <c r="I724">
        <v>6.7</v>
      </c>
      <c r="J724" t="s">
        <v>523</v>
      </c>
    </row>
    <row r="725" spans="1:10" x14ac:dyDescent="0.25">
      <c r="A725">
        <v>24</v>
      </c>
      <c r="B725" t="s">
        <v>494</v>
      </c>
      <c r="C725" t="s">
        <v>19</v>
      </c>
      <c r="D725">
        <v>5</v>
      </c>
      <c r="E725" t="s">
        <v>464</v>
      </c>
      <c r="F725" t="s">
        <v>14</v>
      </c>
      <c r="G725">
        <v>4</v>
      </c>
      <c r="H725">
        <v>176</v>
      </c>
      <c r="I725">
        <v>14.5</v>
      </c>
      <c r="J725" t="s">
        <v>523</v>
      </c>
    </row>
    <row r="726" spans="1:10" x14ac:dyDescent="0.25">
      <c r="A726">
        <v>24</v>
      </c>
      <c r="B726" t="s">
        <v>494</v>
      </c>
      <c r="C726" t="s">
        <v>19</v>
      </c>
      <c r="D726">
        <v>6</v>
      </c>
      <c r="E726" t="s">
        <v>527</v>
      </c>
      <c r="F726" t="s">
        <v>17</v>
      </c>
      <c r="G726">
        <v>46</v>
      </c>
      <c r="H726">
        <v>2096</v>
      </c>
      <c r="I726">
        <v>14</v>
      </c>
      <c r="J726" t="s">
        <v>523</v>
      </c>
    </row>
    <row r="727" spans="1:10" x14ac:dyDescent="0.25">
      <c r="A727">
        <v>24</v>
      </c>
      <c r="B727" t="s">
        <v>494</v>
      </c>
      <c r="C727" t="s">
        <v>19</v>
      </c>
      <c r="D727">
        <v>7</v>
      </c>
      <c r="E727" t="s">
        <v>528</v>
      </c>
      <c r="F727" t="s">
        <v>28</v>
      </c>
      <c r="G727">
        <v>15</v>
      </c>
      <c r="H727">
        <v>483</v>
      </c>
      <c r="I727">
        <v>19.8</v>
      </c>
      <c r="J727" t="s">
        <v>523</v>
      </c>
    </row>
    <row r="728" spans="1:10" x14ac:dyDescent="0.25">
      <c r="A728">
        <v>24</v>
      </c>
      <c r="B728" t="s">
        <v>494</v>
      </c>
      <c r="C728" t="s">
        <v>19</v>
      </c>
      <c r="D728">
        <v>8</v>
      </c>
      <c r="E728" t="s">
        <v>529</v>
      </c>
      <c r="F728" t="s">
        <v>14</v>
      </c>
      <c r="G728">
        <v>53</v>
      </c>
      <c r="H728">
        <v>1754</v>
      </c>
      <c r="I728">
        <v>19.2</v>
      </c>
      <c r="J728" t="s">
        <v>523</v>
      </c>
    </row>
    <row r="729" spans="1:10" x14ac:dyDescent="0.25">
      <c r="A729">
        <v>24</v>
      </c>
      <c r="B729" t="s">
        <v>494</v>
      </c>
      <c r="C729" t="s">
        <v>19</v>
      </c>
      <c r="D729">
        <v>9</v>
      </c>
      <c r="E729" t="s">
        <v>468</v>
      </c>
      <c r="F729" t="s">
        <v>23</v>
      </c>
      <c r="G729">
        <v>19</v>
      </c>
      <c r="H729">
        <v>626</v>
      </c>
      <c r="I729">
        <v>19.3</v>
      </c>
      <c r="J729" t="s">
        <v>523</v>
      </c>
    </row>
    <row r="730" spans="1:10" x14ac:dyDescent="0.25">
      <c r="A730">
        <v>24</v>
      </c>
      <c r="B730" t="s">
        <v>494</v>
      </c>
      <c r="C730" t="s">
        <v>19</v>
      </c>
      <c r="D730">
        <v>10</v>
      </c>
      <c r="E730" t="s">
        <v>534</v>
      </c>
      <c r="F730" t="s">
        <v>23</v>
      </c>
      <c r="G730">
        <v>19</v>
      </c>
      <c r="H730">
        <v>793</v>
      </c>
      <c r="I730">
        <v>15.3</v>
      </c>
      <c r="J730" t="s">
        <v>523</v>
      </c>
    </row>
    <row r="731" spans="1:10" x14ac:dyDescent="0.25">
      <c r="A731">
        <v>41</v>
      </c>
      <c r="B731" t="s">
        <v>511</v>
      </c>
      <c r="C731" t="s">
        <v>19</v>
      </c>
      <c r="D731">
        <v>24</v>
      </c>
      <c r="E731" t="s">
        <v>524</v>
      </c>
      <c r="F731" t="s">
        <v>28</v>
      </c>
      <c r="G731">
        <v>4</v>
      </c>
      <c r="H731">
        <v>467</v>
      </c>
      <c r="I731">
        <v>5.5</v>
      </c>
      <c r="J731" t="s">
        <v>523</v>
      </c>
    </row>
    <row r="732" spans="1:10" x14ac:dyDescent="0.25">
      <c r="A732">
        <v>41</v>
      </c>
      <c r="B732" t="s">
        <v>511</v>
      </c>
      <c r="C732" t="s">
        <v>19</v>
      </c>
      <c r="D732">
        <v>25</v>
      </c>
      <c r="E732" t="s">
        <v>525</v>
      </c>
      <c r="F732" t="s">
        <v>25</v>
      </c>
      <c r="G732">
        <v>19</v>
      </c>
      <c r="H732">
        <v>2456</v>
      </c>
      <c r="I732">
        <v>4.9000000000000004</v>
      </c>
      <c r="J732" t="s">
        <v>523</v>
      </c>
    </row>
    <row r="733" spans="1:10" x14ac:dyDescent="0.25">
      <c r="A733">
        <v>41</v>
      </c>
      <c r="B733" t="s">
        <v>511</v>
      </c>
      <c r="C733" t="s">
        <v>19</v>
      </c>
      <c r="D733">
        <v>26</v>
      </c>
      <c r="E733" t="s">
        <v>519</v>
      </c>
      <c r="F733" t="s">
        <v>25</v>
      </c>
      <c r="G733">
        <v>2</v>
      </c>
      <c r="H733">
        <v>244</v>
      </c>
      <c r="I733">
        <v>5.2</v>
      </c>
      <c r="J733" t="s">
        <v>523</v>
      </c>
    </row>
    <row r="734" spans="1:10" x14ac:dyDescent="0.25">
      <c r="A734">
        <v>41</v>
      </c>
      <c r="B734" t="s">
        <v>511</v>
      </c>
      <c r="C734" t="s">
        <v>19</v>
      </c>
      <c r="D734">
        <v>27</v>
      </c>
      <c r="E734" t="s">
        <v>526</v>
      </c>
      <c r="F734" t="s">
        <v>25</v>
      </c>
      <c r="G734">
        <v>25</v>
      </c>
      <c r="H734">
        <v>912</v>
      </c>
      <c r="I734">
        <v>17.5</v>
      </c>
      <c r="J734" t="s">
        <v>523</v>
      </c>
    </row>
    <row r="735" spans="1:10" x14ac:dyDescent="0.25">
      <c r="A735">
        <v>41</v>
      </c>
      <c r="B735" t="s">
        <v>511</v>
      </c>
      <c r="C735" t="s">
        <v>19</v>
      </c>
      <c r="D735">
        <v>13</v>
      </c>
      <c r="E735" t="s">
        <v>481</v>
      </c>
      <c r="F735" t="s">
        <v>17</v>
      </c>
      <c r="G735">
        <v>6</v>
      </c>
      <c r="H735">
        <v>686</v>
      </c>
      <c r="I735">
        <v>5.6</v>
      </c>
      <c r="J735" t="s">
        <v>523</v>
      </c>
    </row>
    <row r="736" spans="1:10" x14ac:dyDescent="0.25">
      <c r="A736">
        <v>41</v>
      </c>
      <c r="B736" t="s">
        <v>511</v>
      </c>
      <c r="C736" t="s">
        <v>19</v>
      </c>
      <c r="D736">
        <v>14</v>
      </c>
      <c r="E736" t="s">
        <v>482</v>
      </c>
      <c r="F736" t="s">
        <v>14</v>
      </c>
      <c r="G736">
        <v>6</v>
      </c>
      <c r="H736">
        <v>449</v>
      </c>
      <c r="I736">
        <v>8.5</v>
      </c>
      <c r="J736" t="s">
        <v>523</v>
      </c>
    </row>
    <row r="737" spans="1:10" x14ac:dyDescent="0.25">
      <c r="A737">
        <v>41</v>
      </c>
      <c r="B737" t="s">
        <v>511</v>
      </c>
      <c r="C737" t="s">
        <v>19</v>
      </c>
      <c r="D737">
        <v>15</v>
      </c>
      <c r="E737" t="s">
        <v>471</v>
      </c>
      <c r="F737" t="s">
        <v>23</v>
      </c>
      <c r="G737">
        <v>6</v>
      </c>
      <c r="H737">
        <v>397</v>
      </c>
      <c r="I737">
        <v>9.6</v>
      </c>
      <c r="J737" t="s">
        <v>523</v>
      </c>
    </row>
    <row r="738" spans="1:10" x14ac:dyDescent="0.25">
      <c r="A738">
        <v>41</v>
      </c>
      <c r="B738" t="s">
        <v>511</v>
      </c>
      <c r="C738" t="s">
        <v>19</v>
      </c>
      <c r="D738">
        <v>16</v>
      </c>
      <c r="E738" t="s">
        <v>513</v>
      </c>
      <c r="F738" t="s">
        <v>14</v>
      </c>
      <c r="G738">
        <v>17</v>
      </c>
      <c r="H738">
        <v>372</v>
      </c>
      <c r="I738">
        <v>29.1</v>
      </c>
      <c r="J738" t="s">
        <v>523</v>
      </c>
    </row>
    <row r="739" spans="1:10" x14ac:dyDescent="0.25">
      <c r="A739">
        <v>41</v>
      </c>
      <c r="B739" t="s">
        <v>511</v>
      </c>
      <c r="C739" t="s">
        <v>19</v>
      </c>
      <c r="D739">
        <v>17</v>
      </c>
      <c r="E739" t="s">
        <v>531</v>
      </c>
      <c r="F739" t="s">
        <v>25</v>
      </c>
      <c r="G739">
        <v>3</v>
      </c>
      <c r="H739">
        <v>745</v>
      </c>
      <c r="I739">
        <v>2.6</v>
      </c>
      <c r="J739" t="s">
        <v>523</v>
      </c>
    </row>
    <row r="740" spans="1:10" x14ac:dyDescent="0.25">
      <c r="A740">
        <v>41</v>
      </c>
      <c r="B740" t="s">
        <v>511</v>
      </c>
      <c r="C740" t="s">
        <v>19</v>
      </c>
      <c r="D740">
        <v>18</v>
      </c>
      <c r="E740" t="s">
        <v>532</v>
      </c>
      <c r="F740" t="s">
        <v>23</v>
      </c>
      <c r="G740">
        <v>9</v>
      </c>
      <c r="H740">
        <v>1422</v>
      </c>
      <c r="I740">
        <v>4</v>
      </c>
      <c r="J740" t="s">
        <v>523</v>
      </c>
    </row>
    <row r="741" spans="1:10" x14ac:dyDescent="0.25">
      <c r="A741">
        <v>40</v>
      </c>
      <c r="B741" t="s">
        <v>510</v>
      </c>
      <c r="C741" t="s">
        <v>26</v>
      </c>
      <c r="D741">
        <v>29</v>
      </c>
      <c r="E741" t="s">
        <v>472</v>
      </c>
      <c r="F741" t="s">
        <v>23</v>
      </c>
      <c r="G741">
        <v>1</v>
      </c>
      <c r="H741">
        <v>142</v>
      </c>
      <c r="I741">
        <v>4.5</v>
      </c>
      <c r="J741" t="s">
        <v>523</v>
      </c>
    </row>
    <row r="742" spans="1:10" x14ac:dyDescent="0.25">
      <c r="A742">
        <v>40</v>
      </c>
      <c r="B742" t="s">
        <v>510</v>
      </c>
      <c r="C742" t="s">
        <v>26</v>
      </c>
      <c r="D742">
        <v>31</v>
      </c>
      <c r="E742" t="s">
        <v>496</v>
      </c>
      <c r="F742" t="s">
        <v>28</v>
      </c>
      <c r="G742">
        <v>5</v>
      </c>
      <c r="H742">
        <v>1657</v>
      </c>
      <c r="I742">
        <v>1.9</v>
      </c>
      <c r="J742" t="s">
        <v>523</v>
      </c>
    </row>
    <row r="743" spans="1:10" x14ac:dyDescent="0.25">
      <c r="A743">
        <v>40</v>
      </c>
      <c r="B743" t="s">
        <v>510</v>
      </c>
      <c r="C743" t="s">
        <v>26</v>
      </c>
      <c r="D743">
        <v>25</v>
      </c>
      <c r="E743" t="s">
        <v>525</v>
      </c>
      <c r="F743" t="s">
        <v>25</v>
      </c>
      <c r="G743">
        <v>13</v>
      </c>
      <c r="H743">
        <v>1323</v>
      </c>
      <c r="I743">
        <v>6.3</v>
      </c>
      <c r="J743" t="s">
        <v>523</v>
      </c>
    </row>
    <row r="744" spans="1:10" x14ac:dyDescent="0.25">
      <c r="A744">
        <v>40</v>
      </c>
      <c r="B744" t="s">
        <v>510</v>
      </c>
      <c r="C744" t="s">
        <v>26</v>
      </c>
      <c r="D744">
        <v>26</v>
      </c>
      <c r="E744" t="s">
        <v>519</v>
      </c>
      <c r="F744" t="s">
        <v>25</v>
      </c>
      <c r="G744">
        <v>4</v>
      </c>
      <c r="H744">
        <v>101</v>
      </c>
      <c r="I744">
        <v>25.2</v>
      </c>
      <c r="J744" t="s">
        <v>523</v>
      </c>
    </row>
    <row r="745" spans="1:10" x14ac:dyDescent="0.25">
      <c r="A745">
        <v>40</v>
      </c>
      <c r="B745" t="s">
        <v>510</v>
      </c>
      <c r="C745" t="s">
        <v>26</v>
      </c>
      <c r="D745">
        <v>34</v>
      </c>
      <c r="E745" t="s">
        <v>467</v>
      </c>
      <c r="F745" t="s">
        <v>17</v>
      </c>
      <c r="G745">
        <v>5</v>
      </c>
      <c r="H745">
        <v>222</v>
      </c>
      <c r="I745">
        <v>14.3</v>
      </c>
      <c r="J745" t="s">
        <v>523</v>
      </c>
    </row>
    <row r="746" spans="1:10" x14ac:dyDescent="0.25">
      <c r="A746">
        <v>41</v>
      </c>
      <c r="B746" t="s">
        <v>511</v>
      </c>
      <c r="C746" t="s">
        <v>19</v>
      </c>
      <c r="D746">
        <v>1</v>
      </c>
      <c r="E746" t="s">
        <v>466</v>
      </c>
      <c r="F746" t="s">
        <v>23</v>
      </c>
      <c r="G746">
        <v>21</v>
      </c>
      <c r="H746">
        <v>1456</v>
      </c>
      <c r="I746">
        <v>9.1999999999999993</v>
      </c>
      <c r="J746" t="s">
        <v>523</v>
      </c>
    </row>
    <row r="747" spans="1:10" x14ac:dyDescent="0.25">
      <c r="A747">
        <v>41</v>
      </c>
      <c r="B747" t="s">
        <v>511</v>
      </c>
      <c r="C747" t="s">
        <v>19</v>
      </c>
      <c r="D747">
        <v>2</v>
      </c>
      <c r="E747" t="s">
        <v>462</v>
      </c>
      <c r="F747" t="s">
        <v>23</v>
      </c>
      <c r="G747">
        <v>19</v>
      </c>
      <c r="H747">
        <v>763</v>
      </c>
      <c r="I747">
        <v>15.9</v>
      </c>
      <c r="J747" t="s">
        <v>523</v>
      </c>
    </row>
    <row r="748" spans="1:10" x14ac:dyDescent="0.25">
      <c r="A748">
        <v>41</v>
      </c>
      <c r="B748" t="s">
        <v>511</v>
      </c>
      <c r="C748" t="s">
        <v>19</v>
      </c>
      <c r="D748">
        <v>6</v>
      </c>
      <c r="E748" t="s">
        <v>527</v>
      </c>
      <c r="F748" t="s">
        <v>17</v>
      </c>
      <c r="G748">
        <v>7</v>
      </c>
      <c r="H748">
        <v>1844</v>
      </c>
      <c r="I748">
        <v>2.4</v>
      </c>
      <c r="J748" t="s">
        <v>523</v>
      </c>
    </row>
    <row r="749" spans="1:10" x14ac:dyDescent="0.25">
      <c r="A749">
        <v>41</v>
      </c>
      <c r="B749" t="s">
        <v>511</v>
      </c>
      <c r="C749" t="s">
        <v>19</v>
      </c>
      <c r="D749">
        <v>7</v>
      </c>
      <c r="E749" t="s">
        <v>528</v>
      </c>
      <c r="F749" t="s">
        <v>28</v>
      </c>
      <c r="G749">
        <v>14</v>
      </c>
      <c r="H749">
        <v>957</v>
      </c>
      <c r="I749">
        <v>9.3000000000000007</v>
      </c>
      <c r="J749" t="s">
        <v>523</v>
      </c>
    </row>
    <row r="750" spans="1:10" x14ac:dyDescent="0.25">
      <c r="A750">
        <v>41</v>
      </c>
      <c r="B750" t="s">
        <v>511</v>
      </c>
      <c r="C750" t="s">
        <v>19</v>
      </c>
      <c r="D750">
        <v>8</v>
      </c>
      <c r="E750" t="s">
        <v>529</v>
      </c>
      <c r="F750" t="s">
        <v>14</v>
      </c>
      <c r="G750">
        <v>32</v>
      </c>
      <c r="H750">
        <v>1834</v>
      </c>
      <c r="I750">
        <v>11.1</v>
      </c>
      <c r="J750" t="s">
        <v>523</v>
      </c>
    </row>
    <row r="751" spans="1:10" x14ac:dyDescent="0.25">
      <c r="A751">
        <v>41</v>
      </c>
      <c r="B751" t="s">
        <v>511</v>
      </c>
      <c r="C751" t="s">
        <v>19</v>
      </c>
      <c r="D751">
        <v>9</v>
      </c>
      <c r="E751" t="s">
        <v>468</v>
      </c>
      <c r="F751" t="s">
        <v>23</v>
      </c>
      <c r="G751">
        <v>18</v>
      </c>
      <c r="H751">
        <v>603</v>
      </c>
      <c r="I751">
        <v>19</v>
      </c>
      <c r="J751" t="s">
        <v>523</v>
      </c>
    </row>
    <row r="752" spans="1:10" x14ac:dyDescent="0.25">
      <c r="A752">
        <v>39</v>
      </c>
      <c r="B752" t="s">
        <v>509</v>
      </c>
      <c r="C752" t="s">
        <v>19</v>
      </c>
      <c r="D752">
        <v>17</v>
      </c>
      <c r="E752" t="s">
        <v>531</v>
      </c>
      <c r="F752" t="s">
        <v>25</v>
      </c>
      <c r="G752">
        <v>35</v>
      </c>
      <c r="H752">
        <v>821</v>
      </c>
      <c r="I752">
        <v>27.2</v>
      </c>
      <c r="J752" t="s">
        <v>523</v>
      </c>
    </row>
    <row r="753" spans="1:10" x14ac:dyDescent="0.25">
      <c r="A753">
        <v>39</v>
      </c>
      <c r="B753" t="s">
        <v>509</v>
      </c>
      <c r="C753" t="s">
        <v>19</v>
      </c>
      <c r="D753">
        <v>18</v>
      </c>
      <c r="E753" t="s">
        <v>532</v>
      </c>
      <c r="F753" t="s">
        <v>23</v>
      </c>
      <c r="G753">
        <v>22</v>
      </c>
      <c r="H753">
        <v>1638</v>
      </c>
      <c r="I753">
        <v>8.6</v>
      </c>
      <c r="J753" t="s">
        <v>523</v>
      </c>
    </row>
    <row r="754" spans="1:10" x14ac:dyDescent="0.25">
      <c r="A754">
        <v>39</v>
      </c>
      <c r="B754" t="s">
        <v>509</v>
      </c>
      <c r="C754" t="s">
        <v>19</v>
      </c>
      <c r="D754">
        <v>19</v>
      </c>
      <c r="E754" t="s">
        <v>522</v>
      </c>
      <c r="F754" t="s">
        <v>25</v>
      </c>
      <c r="G754">
        <v>9</v>
      </c>
      <c r="H754">
        <v>1897</v>
      </c>
      <c r="I754">
        <v>3</v>
      </c>
      <c r="J754" t="s">
        <v>523</v>
      </c>
    </row>
    <row r="755" spans="1:10" x14ac:dyDescent="0.25">
      <c r="A755">
        <v>39</v>
      </c>
      <c r="B755" t="s">
        <v>509</v>
      </c>
      <c r="C755" t="s">
        <v>19</v>
      </c>
      <c r="D755">
        <v>21</v>
      </c>
      <c r="E755" t="s">
        <v>476</v>
      </c>
      <c r="F755" t="s">
        <v>28</v>
      </c>
      <c r="G755">
        <v>5</v>
      </c>
      <c r="H755">
        <v>347</v>
      </c>
      <c r="I755">
        <v>9.1999999999999993</v>
      </c>
      <c r="J755" t="s">
        <v>523</v>
      </c>
    </row>
    <row r="756" spans="1:10" x14ac:dyDescent="0.25">
      <c r="A756">
        <v>39</v>
      </c>
      <c r="B756" t="s">
        <v>509</v>
      </c>
      <c r="C756" t="s">
        <v>19</v>
      </c>
      <c r="D756">
        <v>23</v>
      </c>
      <c r="E756" t="s">
        <v>506</v>
      </c>
      <c r="F756" t="s">
        <v>23</v>
      </c>
      <c r="G756">
        <v>5</v>
      </c>
      <c r="H756">
        <v>186</v>
      </c>
      <c r="I756">
        <v>17.100000000000001</v>
      </c>
      <c r="J756" t="s">
        <v>523</v>
      </c>
    </row>
    <row r="757" spans="1:10" x14ac:dyDescent="0.25">
      <c r="A757">
        <v>38</v>
      </c>
      <c r="B757" t="s">
        <v>508</v>
      </c>
      <c r="C757" t="s">
        <v>19</v>
      </c>
      <c r="D757">
        <v>11</v>
      </c>
      <c r="E757" t="s">
        <v>469</v>
      </c>
      <c r="F757" t="s">
        <v>25</v>
      </c>
      <c r="G757">
        <v>2</v>
      </c>
      <c r="H757">
        <v>127</v>
      </c>
      <c r="I757">
        <v>10</v>
      </c>
      <c r="J757" t="s">
        <v>523</v>
      </c>
    </row>
    <row r="758" spans="1:10" x14ac:dyDescent="0.25">
      <c r="A758">
        <v>38</v>
      </c>
      <c r="B758" t="s">
        <v>508</v>
      </c>
      <c r="C758" t="s">
        <v>19</v>
      </c>
      <c r="D758">
        <v>35</v>
      </c>
      <c r="E758" t="s">
        <v>539</v>
      </c>
      <c r="F758" t="s">
        <v>14</v>
      </c>
      <c r="G758">
        <v>2</v>
      </c>
      <c r="H758">
        <v>107</v>
      </c>
      <c r="I758">
        <v>11.9</v>
      </c>
      <c r="J758" t="s">
        <v>523</v>
      </c>
    </row>
    <row r="759" spans="1:10" x14ac:dyDescent="0.25">
      <c r="A759">
        <v>39</v>
      </c>
      <c r="B759" t="s">
        <v>509</v>
      </c>
      <c r="C759" t="s">
        <v>19</v>
      </c>
      <c r="D759">
        <v>9</v>
      </c>
      <c r="E759" t="s">
        <v>468</v>
      </c>
      <c r="F759" t="s">
        <v>23</v>
      </c>
      <c r="G759">
        <v>6</v>
      </c>
      <c r="H759">
        <v>604</v>
      </c>
      <c r="I759">
        <v>6.3</v>
      </c>
      <c r="J759" t="s">
        <v>523</v>
      </c>
    </row>
    <row r="760" spans="1:10" x14ac:dyDescent="0.25">
      <c r="A760">
        <v>39</v>
      </c>
      <c r="B760" t="s">
        <v>509</v>
      </c>
      <c r="C760" t="s">
        <v>19</v>
      </c>
      <c r="D760">
        <v>11</v>
      </c>
      <c r="E760" t="s">
        <v>469</v>
      </c>
      <c r="F760" t="s">
        <v>25</v>
      </c>
      <c r="G760">
        <v>2</v>
      </c>
      <c r="H760">
        <v>335</v>
      </c>
      <c r="I760">
        <v>3.8</v>
      </c>
      <c r="J760" t="s">
        <v>523</v>
      </c>
    </row>
    <row r="761" spans="1:10" x14ac:dyDescent="0.25">
      <c r="A761">
        <v>39</v>
      </c>
      <c r="B761" t="s">
        <v>509</v>
      </c>
      <c r="C761" t="s">
        <v>19</v>
      </c>
      <c r="D761">
        <v>12</v>
      </c>
      <c r="E761" t="s">
        <v>475</v>
      </c>
      <c r="F761" t="s">
        <v>28</v>
      </c>
      <c r="G761">
        <v>3</v>
      </c>
      <c r="H761">
        <v>276</v>
      </c>
      <c r="I761">
        <v>6.9</v>
      </c>
      <c r="J761" t="s">
        <v>523</v>
      </c>
    </row>
    <row r="762" spans="1:10" x14ac:dyDescent="0.25">
      <c r="A762">
        <v>39</v>
      </c>
      <c r="B762" t="s">
        <v>509</v>
      </c>
      <c r="C762" t="s">
        <v>19</v>
      </c>
      <c r="D762">
        <v>25</v>
      </c>
      <c r="E762" t="s">
        <v>525</v>
      </c>
      <c r="F762" t="s">
        <v>25</v>
      </c>
      <c r="G762">
        <v>40</v>
      </c>
      <c r="H762">
        <v>3310</v>
      </c>
      <c r="I762">
        <v>7.7</v>
      </c>
      <c r="J762" t="s">
        <v>523</v>
      </c>
    </row>
    <row r="763" spans="1:10" x14ac:dyDescent="0.25">
      <c r="A763">
        <v>39</v>
      </c>
      <c r="B763" t="s">
        <v>509</v>
      </c>
      <c r="C763" t="s">
        <v>19</v>
      </c>
      <c r="D763">
        <v>26</v>
      </c>
      <c r="E763" t="s">
        <v>519</v>
      </c>
      <c r="F763" t="s">
        <v>25</v>
      </c>
      <c r="G763">
        <v>8</v>
      </c>
      <c r="H763">
        <v>283</v>
      </c>
      <c r="I763">
        <v>18</v>
      </c>
      <c r="J763" t="s">
        <v>523</v>
      </c>
    </row>
    <row r="764" spans="1:10" x14ac:dyDescent="0.25">
      <c r="A764">
        <v>39</v>
      </c>
      <c r="B764" t="s">
        <v>509</v>
      </c>
      <c r="C764" t="s">
        <v>19</v>
      </c>
      <c r="D764">
        <v>27</v>
      </c>
      <c r="E764" t="s">
        <v>526</v>
      </c>
      <c r="F764" t="s">
        <v>25</v>
      </c>
      <c r="G764">
        <v>16</v>
      </c>
      <c r="H764">
        <v>839</v>
      </c>
      <c r="I764">
        <v>12.1</v>
      </c>
      <c r="J764" t="s">
        <v>523</v>
      </c>
    </row>
    <row r="765" spans="1:10" x14ac:dyDescent="0.25">
      <c r="A765">
        <v>39</v>
      </c>
      <c r="B765" t="s">
        <v>509</v>
      </c>
      <c r="C765" t="s">
        <v>19</v>
      </c>
      <c r="D765">
        <v>30</v>
      </c>
      <c r="E765" t="s">
        <v>530</v>
      </c>
      <c r="F765" t="s">
        <v>14</v>
      </c>
      <c r="G765">
        <v>19</v>
      </c>
      <c r="H765">
        <v>1138</v>
      </c>
      <c r="I765">
        <v>10.6</v>
      </c>
      <c r="J765" t="s">
        <v>523</v>
      </c>
    </row>
    <row r="766" spans="1:10" x14ac:dyDescent="0.25">
      <c r="A766">
        <v>39</v>
      </c>
      <c r="B766" t="s">
        <v>509</v>
      </c>
      <c r="C766" t="s">
        <v>19</v>
      </c>
      <c r="D766">
        <v>31</v>
      </c>
      <c r="E766" t="s">
        <v>496</v>
      </c>
      <c r="F766" t="s">
        <v>28</v>
      </c>
      <c r="G766">
        <v>15</v>
      </c>
      <c r="H766">
        <v>1617</v>
      </c>
      <c r="I766">
        <v>5.9</v>
      </c>
      <c r="J766" t="s">
        <v>523</v>
      </c>
    </row>
    <row r="767" spans="1:10" x14ac:dyDescent="0.25">
      <c r="A767">
        <v>39</v>
      </c>
      <c r="B767" t="s">
        <v>509</v>
      </c>
      <c r="C767" t="s">
        <v>19</v>
      </c>
      <c r="D767">
        <v>32</v>
      </c>
      <c r="E767" t="s">
        <v>507</v>
      </c>
      <c r="F767" t="s">
        <v>28</v>
      </c>
      <c r="G767">
        <v>5</v>
      </c>
      <c r="H767">
        <v>235</v>
      </c>
      <c r="I767">
        <v>13.6</v>
      </c>
      <c r="J767" t="s">
        <v>523</v>
      </c>
    </row>
    <row r="768" spans="1:10" x14ac:dyDescent="0.25">
      <c r="A768">
        <v>39</v>
      </c>
      <c r="B768" t="s">
        <v>509</v>
      </c>
      <c r="C768" t="s">
        <v>19</v>
      </c>
      <c r="D768">
        <v>34</v>
      </c>
      <c r="E768" t="s">
        <v>467</v>
      </c>
      <c r="F768" t="s">
        <v>17</v>
      </c>
      <c r="G768">
        <v>4</v>
      </c>
      <c r="H768">
        <v>564</v>
      </c>
      <c r="I768">
        <v>4.5</v>
      </c>
      <c r="J768" t="s">
        <v>523</v>
      </c>
    </row>
    <row r="769" spans="1:10" x14ac:dyDescent="0.25">
      <c r="A769">
        <v>40</v>
      </c>
      <c r="B769" t="s">
        <v>510</v>
      </c>
      <c r="C769" t="s">
        <v>26</v>
      </c>
      <c r="D769">
        <v>1</v>
      </c>
      <c r="E769" t="s">
        <v>466</v>
      </c>
      <c r="F769" t="s">
        <v>23</v>
      </c>
      <c r="G769">
        <v>10</v>
      </c>
      <c r="H769">
        <v>941</v>
      </c>
      <c r="I769">
        <v>6.8</v>
      </c>
      <c r="J769" t="s">
        <v>523</v>
      </c>
    </row>
    <row r="770" spans="1:10" x14ac:dyDescent="0.25">
      <c r="A770">
        <v>40</v>
      </c>
      <c r="B770" t="s">
        <v>510</v>
      </c>
      <c r="C770" t="s">
        <v>26</v>
      </c>
      <c r="D770">
        <v>2</v>
      </c>
      <c r="E770" t="s">
        <v>462</v>
      </c>
      <c r="F770" t="s">
        <v>23</v>
      </c>
      <c r="G770">
        <v>29</v>
      </c>
      <c r="H770">
        <v>652</v>
      </c>
      <c r="I770">
        <v>28.3</v>
      </c>
      <c r="J770" t="s">
        <v>523</v>
      </c>
    </row>
    <row r="771" spans="1:10" x14ac:dyDescent="0.25">
      <c r="A771">
        <v>40</v>
      </c>
      <c r="B771" t="s">
        <v>510</v>
      </c>
      <c r="C771" t="s">
        <v>26</v>
      </c>
      <c r="D771">
        <v>3</v>
      </c>
      <c r="E771" t="s">
        <v>493</v>
      </c>
      <c r="F771" t="s">
        <v>25</v>
      </c>
      <c r="G771">
        <v>9</v>
      </c>
      <c r="H771">
        <v>768</v>
      </c>
      <c r="I771">
        <v>7.5</v>
      </c>
      <c r="J771" t="s">
        <v>523</v>
      </c>
    </row>
    <row r="772" spans="1:10" x14ac:dyDescent="0.25">
      <c r="A772">
        <v>40</v>
      </c>
      <c r="B772" t="s">
        <v>510</v>
      </c>
      <c r="C772" t="s">
        <v>26</v>
      </c>
      <c r="D772">
        <v>6</v>
      </c>
      <c r="E772" t="s">
        <v>527</v>
      </c>
      <c r="F772" t="s">
        <v>17</v>
      </c>
      <c r="G772">
        <v>29</v>
      </c>
      <c r="H772">
        <v>951</v>
      </c>
      <c r="I772">
        <v>19.399999999999999</v>
      </c>
      <c r="J772" t="s">
        <v>523</v>
      </c>
    </row>
    <row r="773" spans="1:10" x14ac:dyDescent="0.25">
      <c r="A773">
        <v>40</v>
      </c>
      <c r="B773" t="s">
        <v>510</v>
      </c>
      <c r="C773" t="s">
        <v>26</v>
      </c>
      <c r="D773">
        <v>7</v>
      </c>
      <c r="E773" t="s">
        <v>528</v>
      </c>
      <c r="F773" t="s">
        <v>28</v>
      </c>
      <c r="G773">
        <v>4</v>
      </c>
      <c r="H773">
        <v>380</v>
      </c>
      <c r="I773">
        <v>6.7</v>
      </c>
      <c r="J773" t="s">
        <v>523</v>
      </c>
    </row>
    <row r="774" spans="1:10" x14ac:dyDescent="0.25">
      <c r="A774">
        <v>40</v>
      </c>
      <c r="B774" t="s">
        <v>510</v>
      </c>
      <c r="C774" t="s">
        <v>26</v>
      </c>
      <c r="D774">
        <v>8</v>
      </c>
      <c r="E774" t="s">
        <v>529</v>
      </c>
      <c r="F774" t="s">
        <v>14</v>
      </c>
      <c r="G774">
        <v>61</v>
      </c>
      <c r="H774">
        <v>1620</v>
      </c>
      <c r="I774">
        <v>24</v>
      </c>
      <c r="J774" t="s">
        <v>523</v>
      </c>
    </row>
    <row r="775" spans="1:10" x14ac:dyDescent="0.25">
      <c r="A775">
        <v>40</v>
      </c>
      <c r="B775" t="s">
        <v>510</v>
      </c>
      <c r="C775" t="s">
        <v>26</v>
      </c>
      <c r="D775">
        <v>9</v>
      </c>
      <c r="E775" t="s">
        <v>468</v>
      </c>
      <c r="F775" t="s">
        <v>23</v>
      </c>
      <c r="G775">
        <v>11</v>
      </c>
      <c r="H775">
        <v>429</v>
      </c>
      <c r="I775">
        <v>16.3</v>
      </c>
      <c r="J775" t="s">
        <v>523</v>
      </c>
    </row>
    <row r="776" spans="1:10" x14ac:dyDescent="0.25">
      <c r="A776">
        <v>40</v>
      </c>
      <c r="B776" t="s">
        <v>510</v>
      </c>
      <c r="C776" t="s">
        <v>26</v>
      </c>
      <c r="D776">
        <v>11</v>
      </c>
      <c r="E776" t="s">
        <v>469</v>
      </c>
      <c r="F776" t="s">
        <v>25</v>
      </c>
      <c r="G776">
        <v>10</v>
      </c>
      <c r="H776">
        <v>221</v>
      </c>
      <c r="I776">
        <v>28.8</v>
      </c>
      <c r="J776" t="s">
        <v>523</v>
      </c>
    </row>
    <row r="777" spans="1:10" x14ac:dyDescent="0.25">
      <c r="A777">
        <v>40</v>
      </c>
      <c r="B777" t="s">
        <v>510</v>
      </c>
      <c r="C777" t="s">
        <v>26</v>
      </c>
      <c r="D777">
        <v>12</v>
      </c>
      <c r="E777" t="s">
        <v>475</v>
      </c>
      <c r="F777" t="s">
        <v>28</v>
      </c>
      <c r="G777">
        <v>2</v>
      </c>
      <c r="H777">
        <v>96</v>
      </c>
      <c r="I777">
        <v>13.3</v>
      </c>
      <c r="J777" t="s">
        <v>523</v>
      </c>
    </row>
    <row r="778" spans="1:10" x14ac:dyDescent="0.25">
      <c r="A778">
        <v>40</v>
      </c>
      <c r="B778" t="s">
        <v>510</v>
      </c>
      <c r="C778" t="s">
        <v>26</v>
      </c>
      <c r="D778">
        <v>13</v>
      </c>
      <c r="E778" t="s">
        <v>481</v>
      </c>
      <c r="F778" t="s">
        <v>17</v>
      </c>
      <c r="G778">
        <v>2</v>
      </c>
      <c r="H778">
        <v>171</v>
      </c>
      <c r="I778">
        <v>7.5</v>
      </c>
      <c r="J778" t="s">
        <v>523</v>
      </c>
    </row>
    <row r="779" spans="1:10" x14ac:dyDescent="0.25">
      <c r="A779">
        <v>40</v>
      </c>
      <c r="B779" t="s">
        <v>510</v>
      </c>
      <c r="C779" t="s">
        <v>26</v>
      </c>
      <c r="D779">
        <v>14</v>
      </c>
      <c r="E779" t="s">
        <v>482</v>
      </c>
      <c r="F779" t="s">
        <v>14</v>
      </c>
      <c r="G779">
        <v>13</v>
      </c>
      <c r="H779">
        <v>518</v>
      </c>
      <c r="I779">
        <v>16</v>
      </c>
      <c r="J779" t="s">
        <v>523</v>
      </c>
    </row>
    <row r="780" spans="1:10" x14ac:dyDescent="0.25">
      <c r="A780">
        <v>40</v>
      </c>
      <c r="B780" t="s">
        <v>510</v>
      </c>
      <c r="C780" t="s">
        <v>26</v>
      </c>
      <c r="D780">
        <v>15</v>
      </c>
      <c r="E780" t="s">
        <v>471</v>
      </c>
      <c r="F780" t="s">
        <v>23</v>
      </c>
      <c r="G780">
        <v>1</v>
      </c>
      <c r="H780">
        <v>250</v>
      </c>
      <c r="I780">
        <v>2.5</v>
      </c>
      <c r="J780" t="s">
        <v>523</v>
      </c>
    </row>
    <row r="781" spans="1:10" x14ac:dyDescent="0.25">
      <c r="A781">
        <v>40</v>
      </c>
      <c r="B781" t="s">
        <v>510</v>
      </c>
      <c r="C781" t="s">
        <v>26</v>
      </c>
      <c r="D781">
        <v>17</v>
      </c>
      <c r="E781" t="s">
        <v>531</v>
      </c>
      <c r="F781" t="s">
        <v>25</v>
      </c>
      <c r="G781">
        <v>19</v>
      </c>
      <c r="H781">
        <v>758</v>
      </c>
      <c r="I781">
        <v>16</v>
      </c>
      <c r="J781" t="s">
        <v>523</v>
      </c>
    </row>
    <row r="782" spans="1:10" x14ac:dyDescent="0.25">
      <c r="A782">
        <v>40</v>
      </c>
      <c r="B782" t="s">
        <v>510</v>
      </c>
      <c r="C782" t="s">
        <v>26</v>
      </c>
      <c r="D782">
        <v>18</v>
      </c>
      <c r="E782" t="s">
        <v>532</v>
      </c>
      <c r="F782" t="s">
        <v>23</v>
      </c>
      <c r="G782">
        <v>26</v>
      </c>
      <c r="H782">
        <v>1073</v>
      </c>
      <c r="I782">
        <v>15.4</v>
      </c>
      <c r="J782" t="s">
        <v>523</v>
      </c>
    </row>
    <row r="783" spans="1:10" x14ac:dyDescent="0.25">
      <c r="A783">
        <v>40</v>
      </c>
      <c r="B783" t="s">
        <v>510</v>
      </c>
      <c r="C783" t="s">
        <v>26</v>
      </c>
      <c r="D783">
        <v>19</v>
      </c>
      <c r="E783" t="s">
        <v>522</v>
      </c>
      <c r="F783" t="s">
        <v>25</v>
      </c>
      <c r="G783">
        <v>23</v>
      </c>
      <c r="H783">
        <v>1163</v>
      </c>
      <c r="I783">
        <v>12.6</v>
      </c>
      <c r="J783" t="s">
        <v>523</v>
      </c>
    </row>
    <row r="784" spans="1:10" x14ac:dyDescent="0.25">
      <c r="A784">
        <v>39</v>
      </c>
      <c r="B784" t="s">
        <v>509</v>
      </c>
      <c r="C784" t="s">
        <v>19</v>
      </c>
      <c r="D784">
        <v>2</v>
      </c>
      <c r="E784" t="s">
        <v>462</v>
      </c>
      <c r="F784" t="s">
        <v>23</v>
      </c>
      <c r="G784">
        <v>9</v>
      </c>
      <c r="H784">
        <v>648</v>
      </c>
      <c r="I784">
        <v>8.8000000000000007</v>
      </c>
      <c r="J784" t="s">
        <v>523</v>
      </c>
    </row>
    <row r="785" spans="1:10" x14ac:dyDescent="0.25">
      <c r="A785">
        <v>39</v>
      </c>
      <c r="B785" t="s">
        <v>509</v>
      </c>
      <c r="C785" t="s">
        <v>19</v>
      </c>
      <c r="D785">
        <v>3</v>
      </c>
      <c r="E785" t="s">
        <v>493</v>
      </c>
      <c r="F785" t="s">
        <v>25</v>
      </c>
      <c r="G785">
        <v>13</v>
      </c>
      <c r="H785">
        <v>1736</v>
      </c>
      <c r="I785">
        <v>4.8</v>
      </c>
      <c r="J785" t="s">
        <v>523</v>
      </c>
    </row>
    <row r="786" spans="1:10" x14ac:dyDescent="0.25">
      <c r="A786">
        <v>39</v>
      </c>
      <c r="B786" t="s">
        <v>509</v>
      </c>
      <c r="C786" t="s">
        <v>19</v>
      </c>
      <c r="D786">
        <v>6</v>
      </c>
      <c r="E786" t="s">
        <v>527</v>
      </c>
      <c r="F786" t="s">
        <v>17</v>
      </c>
      <c r="G786">
        <v>11</v>
      </c>
      <c r="H786">
        <v>1902</v>
      </c>
      <c r="I786">
        <v>3.7</v>
      </c>
      <c r="J786" t="s">
        <v>523</v>
      </c>
    </row>
    <row r="787" spans="1:10" x14ac:dyDescent="0.25">
      <c r="A787">
        <v>39</v>
      </c>
      <c r="B787" t="s">
        <v>509</v>
      </c>
      <c r="C787" t="s">
        <v>19</v>
      </c>
      <c r="D787">
        <v>7</v>
      </c>
      <c r="E787" t="s">
        <v>528</v>
      </c>
      <c r="F787" t="s">
        <v>28</v>
      </c>
      <c r="G787">
        <v>21</v>
      </c>
      <c r="H787">
        <v>817</v>
      </c>
      <c r="I787">
        <v>16.399999999999999</v>
      </c>
      <c r="J787" t="s">
        <v>523</v>
      </c>
    </row>
    <row r="788" spans="1:10" x14ac:dyDescent="0.25">
      <c r="A788">
        <v>38</v>
      </c>
      <c r="B788" t="s">
        <v>508</v>
      </c>
      <c r="C788" t="s">
        <v>19</v>
      </c>
      <c r="D788">
        <v>30</v>
      </c>
      <c r="E788" t="s">
        <v>530</v>
      </c>
      <c r="F788" t="s">
        <v>14</v>
      </c>
      <c r="G788">
        <v>7</v>
      </c>
      <c r="H788">
        <v>920</v>
      </c>
      <c r="I788">
        <v>4.8</v>
      </c>
      <c r="J788" t="s">
        <v>523</v>
      </c>
    </row>
    <row r="789" spans="1:10" x14ac:dyDescent="0.25">
      <c r="A789">
        <v>38</v>
      </c>
      <c r="B789" t="s">
        <v>508</v>
      </c>
      <c r="C789" t="s">
        <v>19</v>
      </c>
      <c r="D789">
        <v>31</v>
      </c>
      <c r="E789" t="s">
        <v>496</v>
      </c>
      <c r="F789" t="s">
        <v>28</v>
      </c>
      <c r="G789">
        <v>17</v>
      </c>
      <c r="H789">
        <v>575</v>
      </c>
      <c r="I789">
        <v>18.8</v>
      </c>
      <c r="J789" t="s">
        <v>523</v>
      </c>
    </row>
    <row r="790" spans="1:10" x14ac:dyDescent="0.25">
      <c r="A790">
        <v>38</v>
      </c>
      <c r="B790" t="s">
        <v>508</v>
      </c>
      <c r="C790" t="s">
        <v>19</v>
      </c>
      <c r="D790">
        <v>21</v>
      </c>
      <c r="E790" t="s">
        <v>476</v>
      </c>
      <c r="F790" t="s">
        <v>28</v>
      </c>
      <c r="G790">
        <v>63</v>
      </c>
      <c r="H790">
        <v>4229</v>
      </c>
      <c r="I790">
        <v>9.5</v>
      </c>
      <c r="J790" t="s">
        <v>523</v>
      </c>
    </row>
    <row r="791" spans="1:10" x14ac:dyDescent="0.25">
      <c r="A791">
        <v>38</v>
      </c>
      <c r="B791" t="s">
        <v>508</v>
      </c>
      <c r="C791" t="s">
        <v>19</v>
      </c>
      <c r="D791">
        <v>22</v>
      </c>
      <c r="E791" t="s">
        <v>536</v>
      </c>
      <c r="F791" t="s">
        <v>14</v>
      </c>
      <c r="G791">
        <v>8</v>
      </c>
      <c r="H791">
        <v>159</v>
      </c>
      <c r="I791">
        <v>32.1</v>
      </c>
      <c r="J791" t="s">
        <v>523</v>
      </c>
    </row>
    <row r="792" spans="1:10" x14ac:dyDescent="0.25">
      <c r="A792">
        <v>38</v>
      </c>
      <c r="B792" t="s">
        <v>508</v>
      </c>
      <c r="C792" t="s">
        <v>19</v>
      </c>
      <c r="D792">
        <v>24</v>
      </c>
      <c r="E792" t="s">
        <v>524</v>
      </c>
      <c r="F792" t="s">
        <v>28</v>
      </c>
      <c r="G792">
        <v>11</v>
      </c>
      <c r="H792">
        <v>302</v>
      </c>
      <c r="I792">
        <v>23.2</v>
      </c>
      <c r="J792" t="s">
        <v>523</v>
      </c>
    </row>
    <row r="793" spans="1:10" x14ac:dyDescent="0.25">
      <c r="A793">
        <v>38</v>
      </c>
      <c r="B793" t="s">
        <v>508</v>
      </c>
      <c r="C793" t="s">
        <v>19</v>
      </c>
      <c r="D793">
        <v>25</v>
      </c>
      <c r="E793" t="s">
        <v>525</v>
      </c>
      <c r="F793" t="s">
        <v>25</v>
      </c>
      <c r="G793">
        <v>57</v>
      </c>
      <c r="H793">
        <v>1370</v>
      </c>
      <c r="I793">
        <v>26.5</v>
      </c>
      <c r="J793" t="s">
        <v>523</v>
      </c>
    </row>
    <row r="794" spans="1:10" x14ac:dyDescent="0.25">
      <c r="A794">
        <v>38</v>
      </c>
      <c r="B794" t="s">
        <v>508</v>
      </c>
      <c r="C794" t="s">
        <v>19</v>
      </c>
      <c r="D794">
        <v>27</v>
      </c>
      <c r="E794" t="s">
        <v>526</v>
      </c>
      <c r="F794" t="s">
        <v>25</v>
      </c>
      <c r="G794">
        <v>24</v>
      </c>
      <c r="H794">
        <v>509</v>
      </c>
      <c r="I794">
        <v>30</v>
      </c>
      <c r="J794" t="s">
        <v>523</v>
      </c>
    </row>
    <row r="795" spans="1:10" x14ac:dyDescent="0.25">
      <c r="A795">
        <v>37</v>
      </c>
      <c r="B795" t="s">
        <v>505</v>
      </c>
      <c r="C795" t="s">
        <v>21</v>
      </c>
      <c r="D795">
        <v>34</v>
      </c>
      <c r="E795" t="s">
        <v>467</v>
      </c>
      <c r="F795" t="s">
        <v>17</v>
      </c>
      <c r="G795">
        <v>13</v>
      </c>
      <c r="H795">
        <v>338</v>
      </c>
      <c r="I795">
        <v>24.5</v>
      </c>
      <c r="J795" t="s">
        <v>523</v>
      </c>
    </row>
    <row r="796" spans="1:10" x14ac:dyDescent="0.25">
      <c r="A796">
        <v>38</v>
      </c>
      <c r="B796" t="s">
        <v>508</v>
      </c>
      <c r="C796" t="s">
        <v>19</v>
      </c>
      <c r="D796">
        <v>1</v>
      </c>
      <c r="E796" t="s">
        <v>466</v>
      </c>
      <c r="F796" t="s">
        <v>23</v>
      </c>
      <c r="G796">
        <v>21</v>
      </c>
      <c r="H796">
        <v>1438</v>
      </c>
      <c r="I796">
        <v>9.3000000000000007</v>
      </c>
      <c r="J796" t="s">
        <v>523</v>
      </c>
    </row>
    <row r="797" spans="1:10" x14ac:dyDescent="0.25">
      <c r="A797">
        <v>38</v>
      </c>
      <c r="B797" t="s">
        <v>508</v>
      </c>
      <c r="C797" t="s">
        <v>19</v>
      </c>
      <c r="D797">
        <v>2</v>
      </c>
      <c r="E797" t="s">
        <v>462</v>
      </c>
      <c r="F797" t="s">
        <v>23</v>
      </c>
      <c r="G797">
        <v>34</v>
      </c>
      <c r="H797">
        <v>645</v>
      </c>
      <c r="I797">
        <v>33.6</v>
      </c>
      <c r="J797" t="s">
        <v>523</v>
      </c>
    </row>
    <row r="798" spans="1:10" x14ac:dyDescent="0.25">
      <c r="A798">
        <v>38</v>
      </c>
      <c r="B798" t="s">
        <v>508</v>
      </c>
      <c r="C798" t="s">
        <v>19</v>
      </c>
      <c r="D798">
        <v>3</v>
      </c>
      <c r="E798" t="s">
        <v>493</v>
      </c>
      <c r="F798" t="s">
        <v>25</v>
      </c>
      <c r="G798">
        <v>54</v>
      </c>
      <c r="H798">
        <v>1951</v>
      </c>
      <c r="I798">
        <v>17.600000000000001</v>
      </c>
      <c r="J798" t="s">
        <v>523</v>
      </c>
    </row>
    <row r="799" spans="1:10" x14ac:dyDescent="0.25">
      <c r="A799">
        <v>38</v>
      </c>
      <c r="B799" t="s">
        <v>508</v>
      </c>
      <c r="C799" t="s">
        <v>19</v>
      </c>
      <c r="D799">
        <v>6</v>
      </c>
      <c r="E799" t="s">
        <v>527</v>
      </c>
      <c r="F799" t="s">
        <v>17</v>
      </c>
      <c r="G799">
        <v>54</v>
      </c>
      <c r="H799">
        <v>1018</v>
      </c>
      <c r="I799">
        <v>33.799999999999997</v>
      </c>
      <c r="J799" t="s">
        <v>523</v>
      </c>
    </row>
    <row r="800" spans="1:10" x14ac:dyDescent="0.25">
      <c r="A800">
        <v>38</v>
      </c>
      <c r="B800" t="s">
        <v>508</v>
      </c>
      <c r="C800" t="s">
        <v>19</v>
      </c>
      <c r="D800">
        <v>8</v>
      </c>
      <c r="E800" t="s">
        <v>529</v>
      </c>
      <c r="F800" t="s">
        <v>14</v>
      </c>
      <c r="G800">
        <v>94</v>
      </c>
      <c r="H800">
        <v>1810</v>
      </c>
      <c r="I800">
        <v>33.1</v>
      </c>
      <c r="J800" t="s">
        <v>523</v>
      </c>
    </row>
    <row r="801" spans="1:10" x14ac:dyDescent="0.25">
      <c r="A801">
        <v>38</v>
      </c>
      <c r="B801" t="s">
        <v>508</v>
      </c>
      <c r="C801" t="s">
        <v>19</v>
      </c>
      <c r="D801">
        <v>9</v>
      </c>
      <c r="E801" t="s">
        <v>468</v>
      </c>
      <c r="F801" t="s">
        <v>23</v>
      </c>
      <c r="G801">
        <v>6</v>
      </c>
      <c r="H801">
        <v>1092</v>
      </c>
      <c r="I801">
        <v>3.5</v>
      </c>
      <c r="J801" t="s">
        <v>523</v>
      </c>
    </row>
    <row r="802" spans="1:10" x14ac:dyDescent="0.25">
      <c r="A802">
        <v>38</v>
      </c>
      <c r="B802" t="s">
        <v>508</v>
      </c>
      <c r="C802" t="s">
        <v>19</v>
      </c>
      <c r="D802">
        <v>14</v>
      </c>
      <c r="E802" t="s">
        <v>482</v>
      </c>
      <c r="F802" t="s">
        <v>14</v>
      </c>
      <c r="G802">
        <v>7</v>
      </c>
      <c r="H802">
        <v>482</v>
      </c>
      <c r="I802">
        <v>9.3000000000000007</v>
      </c>
      <c r="J802" t="s">
        <v>523</v>
      </c>
    </row>
    <row r="803" spans="1:10" x14ac:dyDescent="0.25">
      <c r="A803">
        <v>38</v>
      </c>
      <c r="B803" t="s">
        <v>508</v>
      </c>
      <c r="C803" t="s">
        <v>19</v>
      </c>
      <c r="D803">
        <v>15</v>
      </c>
      <c r="E803" t="s">
        <v>471</v>
      </c>
      <c r="F803" t="s">
        <v>23</v>
      </c>
      <c r="G803">
        <v>5</v>
      </c>
      <c r="H803">
        <v>222</v>
      </c>
      <c r="I803">
        <v>14.3</v>
      </c>
      <c r="J803" t="s">
        <v>523</v>
      </c>
    </row>
    <row r="804" spans="1:10" x14ac:dyDescent="0.25">
      <c r="A804">
        <v>38</v>
      </c>
      <c r="B804" t="s">
        <v>508</v>
      </c>
      <c r="C804" t="s">
        <v>19</v>
      </c>
      <c r="D804">
        <v>16</v>
      </c>
      <c r="E804" t="s">
        <v>513</v>
      </c>
      <c r="F804" t="s">
        <v>14</v>
      </c>
      <c r="G804">
        <v>6</v>
      </c>
      <c r="H804">
        <v>222</v>
      </c>
      <c r="I804">
        <v>17.2</v>
      </c>
      <c r="J804" t="s">
        <v>523</v>
      </c>
    </row>
    <row r="805" spans="1:10" x14ac:dyDescent="0.25">
      <c r="A805">
        <v>38</v>
      </c>
      <c r="B805" t="s">
        <v>508</v>
      </c>
      <c r="C805" t="s">
        <v>19</v>
      </c>
      <c r="D805">
        <v>17</v>
      </c>
      <c r="E805" t="s">
        <v>531</v>
      </c>
      <c r="F805" t="s">
        <v>25</v>
      </c>
      <c r="G805">
        <v>24</v>
      </c>
      <c r="H805">
        <v>605</v>
      </c>
      <c r="I805">
        <v>25.3</v>
      </c>
      <c r="J805" t="s">
        <v>523</v>
      </c>
    </row>
    <row r="806" spans="1:10" x14ac:dyDescent="0.25">
      <c r="A806">
        <v>38</v>
      </c>
      <c r="B806" t="s">
        <v>508</v>
      </c>
      <c r="C806" t="s">
        <v>19</v>
      </c>
      <c r="D806">
        <v>18</v>
      </c>
      <c r="E806" t="s">
        <v>532</v>
      </c>
      <c r="F806" t="s">
        <v>23</v>
      </c>
      <c r="G806">
        <v>10</v>
      </c>
      <c r="H806">
        <v>442</v>
      </c>
      <c r="I806">
        <v>14.4</v>
      </c>
      <c r="J806" t="s">
        <v>523</v>
      </c>
    </row>
    <row r="807" spans="1:10" x14ac:dyDescent="0.25">
      <c r="A807">
        <v>38</v>
      </c>
      <c r="B807" t="s">
        <v>508</v>
      </c>
      <c r="C807" t="s">
        <v>19</v>
      </c>
      <c r="D807">
        <v>19</v>
      </c>
      <c r="E807" t="s">
        <v>522</v>
      </c>
      <c r="F807" t="s">
        <v>25</v>
      </c>
      <c r="G807">
        <v>7</v>
      </c>
      <c r="H807">
        <v>1242</v>
      </c>
      <c r="I807">
        <v>3.6</v>
      </c>
      <c r="J807" t="s">
        <v>523</v>
      </c>
    </row>
    <row r="808" spans="1:10" x14ac:dyDescent="0.25">
      <c r="A808">
        <v>37</v>
      </c>
      <c r="B808" t="s">
        <v>505</v>
      </c>
      <c r="C808" t="s">
        <v>21</v>
      </c>
      <c r="D808">
        <v>24</v>
      </c>
      <c r="E808" t="s">
        <v>524</v>
      </c>
      <c r="F808" t="s">
        <v>28</v>
      </c>
      <c r="G808">
        <v>27</v>
      </c>
      <c r="H808">
        <v>866</v>
      </c>
      <c r="I808">
        <v>19.899999999999999</v>
      </c>
      <c r="J808" t="s">
        <v>523</v>
      </c>
    </row>
    <row r="809" spans="1:10" x14ac:dyDescent="0.25">
      <c r="A809">
        <v>37</v>
      </c>
      <c r="B809" t="s">
        <v>505</v>
      </c>
      <c r="C809" t="s">
        <v>21</v>
      </c>
      <c r="D809">
        <v>25</v>
      </c>
      <c r="E809" t="s">
        <v>525</v>
      </c>
      <c r="F809" t="s">
        <v>25</v>
      </c>
      <c r="G809">
        <v>34</v>
      </c>
      <c r="H809">
        <v>2133</v>
      </c>
      <c r="I809">
        <v>10.199999999999999</v>
      </c>
      <c r="J809" t="s">
        <v>523</v>
      </c>
    </row>
    <row r="810" spans="1:10" x14ac:dyDescent="0.25">
      <c r="A810">
        <v>37</v>
      </c>
      <c r="B810" t="s">
        <v>505</v>
      </c>
      <c r="C810" t="s">
        <v>21</v>
      </c>
      <c r="D810">
        <v>26</v>
      </c>
      <c r="E810" t="s">
        <v>519</v>
      </c>
      <c r="F810" t="s">
        <v>25</v>
      </c>
      <c r="G810">
        <v>11</v>
      </c>
      <c r="H810">
        <v>200</v>
      </c>
      <c r="I810">
        <v>35</v>
      </c>
      <c r="J810" t="s">
        <v>523</v>
      </c>
    </row>
    <row r="811" spans="1:10" x14ac:dyDescent="0.25">
      <c r="A811">
        <v>37</v>
      </c>
      <c r="B811" t="s">
        <v>505</v>
      </c>
      <c r="C811" t="s">
        <v>21</v>
      </c>
      <c r="D811">
        <v>27</v>
      </c>
      <c r="E811" t="s">
        <v>526</v>
      </c>
      <c r="F811" t="s">
        <v>25</v>
      </c>
      <c r="G811">
        <v>18</v>
      </c>
      <c r="H811">
        <v>418</v>
      </c>
      <c r="I811">
        <v>27.4</v>
      </c>
      <c r="J811" t="s">
        <v>523</v>
      </c>
    </row>
    <row r="812" spans="1:10" x14ac:dyDescent="0.25">
      <c r="A812">
        <v>37</v>
      </c>
      <c r="B812" t="s">
        <v>505</v>
      </c>
      <c r="C812" t="s">
        <v>21</v>
      </c>
      <c r="D812">
        <v>28</v>
      </c>
      <c r="E812" t="s">
        <v>477</v>
      </c>
      <c r="F812" t="s">
        <v>25</v>
      </c>
      <c r="G812">
        <v>4</v>
      </c>
      <c r="H812">
        <v>76</v>
      </c>
      <c r="I812">
        <v>33.5</v>
      </c>
      <c r="J812" t="s">
        <v>523</v>
      </c>
    </row>
    <row r="813" spans="1:10" x14ac:dyDescent="0.25">
      <c r="A813">
        <v>37</v>
      </c>
      <c r="B813" t="s">
        <v>505</v>
      </c>
      <c r="C813" t="s">
        <v>21</v>
      </c>
      <c r="D813">
        <v>29</v>
      </c>
      <c r="E813" t="s">
        <v>472</v>
      </c>
      <c r="F813" t="s">
        <v>23</v>
      </c>
      <c r="G813">
        <v>5</v>
      </c>
      <c r="H813">
        <v>205</v>
      </c>
      <c r="I813">
        <v>15.5</v>
      </c>
      <c r="J813" t="s">
        <v>523</v>
      </c>
    </row>
    <row r="814" spans="1:10" x14ac:dyDescent="0.25">
      <c r="A814">
        <v>37</v>
      </c>
      <c r="B814" t="s">
        <v>505</v>
      </c>
      <c r="C814" t="s">
        <v>21</v>
      </c>
      <c r="D814">
        <v>30</v>
      </c>
      <c r="E814" t="s">
        <v>530</v>
      </c>
      <c r="F814" t="s">
        <v>14</v>
      </c>
      <c r="G814">
        <v>35</v>
      </c>
      <c r="H814">
        <v>803</v>
      </c>
      <c r="I814">
        <v>27.8</v>
      </c>
      <c r="J814" t="s">
        <v>523</v>
      </c>
    </row>
    <row r="815" spans="1:10" x14ac:dyDescent="0.25">
      <c r="A815">
        <v>37</v>
      </c>
      <c r="B815" t="s">
        <v>505</v>
      </c>
      <c r="C815" t="s">
        <v>21</v>
      </c>
      <c r="D815">
        <v>31</v>
      </c>
      <c r="E815" t="s">
        <v>496</v>
      </c>
      <c r="F815" t="s">
        <v>28</v>
      </c>
      <c r="G815">
        <v>14</v>
      </c>
      <c r="H815">
        <v>901</v>
      </c>
      <c r="I815">
        <v>9.9</v>
      </c>
      <c r="J815" t="s">
        <v>523</v>
      </c>
    </row>
    <row r="816" spans="1:10" x14ac:dyDescent="0.25">
      <c r="A816">
        <v>37</v>
      </c>
      <c r="B816" t="s">
        <v>505</v>
      </c>
      <c r="C816" t="s">
        <v>21</v>
      </c>
      <c r="D816">
        <v>14</v>
      </c>
      <c r="E816" t="s">
        <v>482</v>
      </c>
      <c r="F816" t="s">
        <v>14</v>
      </c>
      <c r="G816">
        <v>5</v>
      </c>
      <c r="H816">
        <v>625</v>
      </c>
      <c r="I816">
        <v>5.0999999999999996</v>
      </c>
      <c r="J816" t="s">
        <v>523</v>
      </c>
    </row>
    <row r="817" spans="1:10" x14ac:dyDescent="0.25">
      <c r="A817">
        <v>37</v>
      </c>
      <c r="B817" t="s">
        <v>505</v>
      </c>
      <c r="C817" t="s">
        <v>21</v>
      </c>
      <c r="D817">
        <v>15</v>
      </c>
      <c r="E817" t="s">
        <v>471</v>
      </c>
      <c r="F817" t="s">
        <v>23</v>
      </c>
      <c r="G817">
        <v>4</v>
      </c>
      <c r="H817">
        <v>447</v>
      </c>
      <c r="I817">
        <v>5.7</v>
      </c>
      <c r="J817" t="s">
        <v>523</v>
      </c>
    </row>
    <row r="818" spans="1:10" x14ac:dyDescent="0.25">
      <c r="A818">
        <v>37</v>
      </c>
      <c r="B818" t="s">
        <v>505</v>
      </c>
      <c r="C818" t="s">
        <v>21</v>
      </c>
      <c r="D818">
        <v>16</v>
      </c>
      <c r="E818" t="s">
        <v>513</v>
      </c>
      <c r="F818" t="s">
        <v>14</v>
      </c>
      <c r="G818">
        <v>6</v>
      </c>
      <c r="H818">
        <v>305</v>
      </c>
      <c r="I818">
        <v>12.5</v>
      </c>
      <c r="J818" t="s">
        <v>523</v>
      </c>
    </row>
    <row r="819" spans="1:10" x14ac:dyDescent="0.25">
      <c r="A819">
        <v>37</v>
      </c>
      <c r="B819" t="s">
        <v>505</v>
      </c>
      <c r="C819" t="s">
        <v>21</v>
      </c>
      <c r="D819">
        <v>17</v>
      </c>
      <c r="E819" t="s">
        <v>531</v>
      </c>
      <c r="F819" t="s">
        <v>25</v>
      </c>
      <c r="G819">
        <v>7</v>
      </c>
      <c r="H819">
        <v>1087</v>
      </c>
      <c r="I819">
        <v>4.0999999999999996</v>
      </c>
      <c r="J819" t="s">
        <v>523</v>
      </c>
    </row>
    <row r="820" spans="1:10" x14ac:dyDescent="0.25">
      <c r="A820">
        <v>37</v>
      </c>
      <c r="B820" t="s">
        <v>505</v>
      </c>
      <c r="C820" t="s">
        <v>21</v>
      </c>
      <c r="D820">
        <v>18</v>
      </c>
      <c r="E820" t="s">
        <v>532</v>
      </c>
      <c r="F820" t="s">
        <v>23</v>
      </c>
      <c r="G820">
        <v>6</v>
      </c>
      <c r="H820">
        <v>1247</v>
      </c>
      <c r="I820">
        <v>3.1</v>
      </c>
      <c r="J820" t="s">
        <v>523</v>
      </c>
    </row>
    <row r="821" spans="1:10" x14ac:dyDescent="0.25">
      <c r="A821">
        <v>37</v>
      </c>
      <c r="B821" t="s">
        <v>505</v>
      </c>
      <c r="C821" t="s">
        <v>21</v>
      </c>
      <c r="D821">
        <v>11</v>
      </c>
      <c r="E821" t="s">
        <v>469</v>
      </c>
      <c r="F821" t="s">
        <v>25</v>
      </c>
      <c r="G821">
        <v>7</v>
      </c>
      <c r="H821">
        <v>236</v>
      </c>
      <c r="I821">
        <v>18.899999999999999</v>
      </c>
      <c r="J821" t="s">
        <v>523</v>
      </c>
    </row>
    <row r="822" spans="1:10" x14ac:dyDescent="0.25">
      <c r="A822">
        <v>37</v>
      </c>
      <c r="B822" t="s">
        <v>505</v>
      </c>
      <c r="C822" t="s">
        <v>21</v>
      </c>
      <c r="D822">
        <v>12</v>
      </c>
      <c r="E822" t="s">
        <v>475</v>
      </c>
      <c r="F822" t="s">
        <v>28</v>
      </c>
      <c r="G822">
        <v>11</v>
      </c>
      <c r="H822">
        <v>206</v>
      </c>
      <c r="I822">
        <v>34</v>
      </c>
      <c r="J822" t="s">
        <v>523</v>
      </c>
    </row>
    <row r="823" spans="1:10" x14ac:dyDescent="0.25">
      <c r="A823">
        <v>37</v>
      </c>
      <c r="B823" t="s">
        <v>505</v>
      </c>
      <c r="C823" t="s">
        <v>21</v>
      </c>
      <c r="D823">
        <v>21</v>
      </c>
      <c r="E823" t="s">
        <v>476</v>
      </c>
      <c r="F823" t="s">
        <v>28</v>
      </c>
      <c r="G823">
        <v>53</v>
      </c>
      <c r="H823">
        <v>2778</v>
      </c>
      <c r="I823">
        <v>12.2</v>
      </c>
      <c r="J823" t="s">
        <v>523</v>
      </c>
    </row>
    <row r="824" spans="1:10" x14ac:dyDescent="0.25">
      <c r="A824">
        <v>37</v>
      </c>
      <c r="B824" t="s">
        <v>505</v>
      </c>
      <c r="C824" t="s">
        <v>21</v>
      </c>
      <c r="D824">
        <v>1</v>
      </c>
      <c r="E824" t="s">
        <v>466</v>
      </c>
      <c r="F824" t="s">
        <v>23</v>
      </c>
      <c r="G824">
        <v>23</v>
      </c>
      <c r="H824">
        <v>1418</v>
      </c>
      <c r="I824">
        <v>10.3</v>
      </c>
      <c r="J824" t="s">
        <v>523</v>
      </c>
    </row>
    <row r="825" spans="1:10" x14ac:dyDescent="0.25">
      <c r="A825">
        <v>37</v>
      </c>
      <c r="B825" t="s">
        <v>505</v>
      </c>
      <c r="C825" t="s">
        <v>21</v>
      </c>
      <c r="D825">
        <v>2</v>
      </c>
      <c r="E825" t="s">
        <v>462</v>
      </c>
      <c r="F825" t="s">
        <v>23</v>
      </c>
      <c r="G825">
        <v>3</v>
      </c>
      <c r="H825">
        <v>1160</v>
      </c>
      <c r="I825">
        <v>1.6</v>
      </c>
      <c r="J825" t="s">
        <v>523</v>
      </c>
    </row>
    <row r="826" spans="1:10" x14ac:dyDescent="0.25">
      <c r="A826">
        <v>37</v>
      </c>
      <c r="B826" t="s">
        <v>505</v>
      </c>
      <c r="C826" t="s">
        <v>21</v>
      </c>
      <c r="D826">
        <v>3</v>
      </c>
      <c r="E826" t="s">
        <v>493</v>
      </c>
      <c r="F826" t="s">
        <v>25</v>
      </c>
      <c r="G826">
        <v>4</v>
      </c>
      <c r="H826">
        <v>3303</v>
      </c>
      <c r="I826">
        <v>0.8</v>
      </c>
      <c r="J826" t="s">
        <v>523</v>
      </c>
    </row>
    <row r="827" spans="1:10" x14ac:dyDescent="0.25">
      <c r="A827">
        <v>37</v>
      </c>
      <c r="B827" t="s">
        <v>505</v>
      </c>
      <c r="C827" t="s">
        <v>21</v>
      </c>
      <c r="D827">
        <v>4</v>
      </c>
      <c r="E827" t="s">
        <v>504</v>
      </c>
      <c r="F827" t="s">
        <v>14</v>
      </c>
      <c r="G827">
        <v>4</v>
      </c>
      <c r="H827">
        <v>127</v>
      </c>
      <c r="I827">
        <v>20.100000000000001</v>
      </c>
      <c r="J827" t="s">
        <v>523</v>
      </c>
    </row>
    <row r="828" spans="1:10" x14ac:dyDescent="0.25">
      <c r="A828">
        <v>37</v>
      </c>
      <c r="B828" t="s">
        <v>505</v>
      </c>
      <c r="C828" t="s">
        <v>21</v>
      </c>
      <c r="D828">
        <v>5</v>
      </c>
      <c r="E828" t="s">
        <v>464</v>
      </c>
      <c r="F828" t="s">
        <v>14</v>
      </c>
      <c r="G828">
        <v>2</v>
      </c>
      <c r="H828">
        <v>169</v>
      </c>
      <c r="I828">
        <v>7.5</v>
      </c>
      <c r="J828" t="s">
        <v>523</v>
      </c>
    </row>
    <row r="829" spans="1:10" x14ac:dyDescent="0.25">
      <c r="A829">
        <v>37</v>
      </c>
      <c r="B829" t="s">
        <v>505</v>
      </c>
      <c r="C829" t="s">
        <v>21</v>
      </c>
      <c r="D829">
        <v>6</v>
      </c>
      <c r="E829" t="s">
        <v>527</v>
      </c>
      <c r="F829" t="s">
        <v>17</v>
      </c>
      <c r="G829">
        <v>17</v>
      </c>
      <c r="H829">
        <v>1191</v>
      </c>
      <c r="I829">
        <v>9.1</v>
      </c>
      <c r="J829" t="s">
        <v>523</v>
      </c>
    </row>
    <row r="830" spans="1:10" x14ac:dyDescent="0.25">
      <c r="A830">
        <v>37</v>
      </c>
      <c r="B830" t="s">
        <v>505</v>
      </c>
      <c r="C830" t="s">
        <v>21</v>
      </c>
      <c r="D830">
        <v>7</v>
      </c>
      <c r="E830" t="s">
        <v>528</v>
      </c>
      <c r="F830" t="s">
        <v>28</v>
      </c>
      <c r="G830">
        <v>16</v>
      </c>
      <c r="H830">
        <v>656</v>
      </c>
      <c r="I830">
        <v>15.5</v>
      </c>
      <c r="J830" t="s">
        <v>523</v>
      </c>
    </row>
    <row r="831" spans="1:10" x14ac:dyDescent="0.25">
      <c r="A831">
        <v>36</v>
      </c>
      <c r="B831" t="s">
        <v>503</v>
      </c>
      <c r="C831" t="s">
        <v>19</v>
      </c>
      <c r="D831">
        <v>30</v>
      </c>
      <c r="E831" t="s">
        <v>530</v>
      </c>
      <c r="F831" t="s">
        <v>14</v>
      </c>
      <c r="G831">
        <v>15</v>
      </c>
      <c r="H831">
        <v>565</v>
      </c>
      <c r="I831">
        <v>16.899999999999999</v>
      </c>
      <c r="J831" t="s">
        <v>523</v>
      </c>
    </row>
    <row r="832" spans="1:10" x14ac:dyDescent="0.25">
      <c r="A832">
        <v>36</v>
      </c>
      <c r="B832" t="s">
        <v>503</v>
      </c>
      <c r="C832" t="s">
        <v>19</v>
      </c>
      <c r="D832">
        <v>31</v>
      </c>
      <c r="E832" t="s">
        <v>496</v>
      </c>
      <c r="F832" t="s">
        <v>28</v>
      </c>
      <c r="G832">
        <v>6</v>
      </c>
      <c r="H832">
        <v>1455</v>
      </c>
      <c r="I832">
        <v>2.6</v>
      </c>
      <c r="J832" t="s">
        <v>523</v>
      </c>
    </row>
    <row r="833" spans="1:10" x14ac:dyDescent="0.25">
      <c r="A833">
        <v>36</v>
      </c>
      <c r="B833" t="s">
        <v>503</v>
      </c>
      <c r="C833" t="s">
        <v>19</v>
      </c>
      <c r="D833">
        <v>34</v>
      </c>
      <c r="E833" t="s">
        <v>467</v>
      </c>
      <c r="F833" t="s">
        <v>17</v>
      </c>
      <c r="G833">
        <v>2</v>
      </c>
      <c r="H833">
        <v>50</v>
      </c>
      <c r="I833">
        <v>25.5</v>
      </c>
      <c r="J833" t="s">
        <v>523</v>
      </c>
    </row>
    <row r="834" spans="1:10" x14ac:dyDescent="0.25">
      <c r="A834">
        <v>37</v>
      </c>
      <c r="B834" t="s">
        <v>505</v>
      </c>
      <c r="C834" t="s">
        <v>21</v>
      </c>
      <c r="D834">
        <v>9</v>
      </c>
      <c r="E834" t="s">
        <v>468</v>
      </c>
      <c r="F834" t="s">
        <v>23</v>
      </c>
      <c r="G834">
        <v>10</v>
      </c>
      <c r="H834">
        <v>1276</v>
      </c>
      <c r="I834">
        <v>5</v>
      </c>
      <c r="J834" t="s">
        <v>523</v>
      </c>
    </row>
    <row r="835" spans="1:10" x14ac:dyDescent="0.25">
      <c r="A835">
        <v>36</v>
      </c>
      <c r="B835" t="s">
        <v>503</v>
      </c>
      <c r="C835" t="s">
        <v>19</v>
      </c>
      <c r="D835">
        <v>5</v>
      </c>
      <c r="E835" t="s">
        <v>464</v>
      </c>
      <c r="F835" t="s">
        <v>14</v>
      </c>
      <c r="G835">
        <v>3</v>
      </c>
      <c r="H835">
        <v>150</v>
      </c>
      <c r="I835">
        <v>12.7</v>
      </c>
      <c r="J835" t="s">
        <v>523</v>
      </c>
    </row>
    <row r="836" spans="1:10" x14ac:dyDescent="0.25">
      <c r="A836">
        <v>36</v>
      </c>
      <c r="B836" t="s">
        <v>503</v>
      </c>
      <c r="C836" t="s">
        <v>19</v>
      </c>
      <c r="D836">
        <v>6</v>
      </c>
      <c r="E836" t="s">
        <v>527</v>
      </c>
      <c r="F836" t="s">
        <v>17</v>
      </c>
      <c r="G836">
        <v>27</v>
      </c>
      <c r="H836">
        <v>2716</v>
      </c>
      <c r="I836">
        <v>6.3</v>
      </c>
      <c r="J836" t="s">
        <v>523</v>
      </c>
    </row>
    <row r="837" spans="1:10" x14ac:dyDescent="0.25">
      <c r="A837">
        <v>36</v>
      </c>
      <c r="B837" t="s">
        <v>503</v>
      </c>
      <c r="C837" t="s">
        <v>19</v>
      </c>
      <c r="D837">
        <v>7</v>
      </c>
      <c r="E837" t="s">
        <v>528</v>
      </c>
      <c r="F837" t="s">
        <v>28</v>
      </c>
      <c r="G837">
        <v>15</v>
      </c>
      <c r="H837">
        <v>337</v>
      </c>
      <c r="I837">
        <v>28.4</v>
      </c>
      <c r="J837" t="s">
        <v>523</v>
      </c>
    </row>
    <row r="838" spans="1:10" x14ac:dyDescent="0.25">
      <c r="A838">
        <v>36</v>
      </c>
      <c r="B838" t="s">
        <v>503</v>
      </c>
      <c r="C838" t="s">
        <v>19</v>
      </c>
      <c r="D838">
        <v>8</v>
      </c>
      <c r="E838" t="s">
        <v>529</v>
      </c>
      <c r="F838" t="s">
        <v>14</v>
      </c>
      <c r="G838">
        <v>58</v>
      </c>
      <c r="H838">
        <v>2234</v>
      </c>
      <c r="I838">
        <v>16.5</v>
      </c>
      <c r="J838" t="s">
        <v>523</v>
      </c>
    </row>
    <row r="839" spans="1:10" x14ac:dyDescent="0.25">
      <c r="A839">
        <v>35</v>
      </c>
      <c r="B839" t="s">
        <v>502</v>
      </c>
      <c r="C839" t="s">
        <v>19</v>
      </c>
      <c r="D839">
        <v>34</v>
      </c>
      <c r="E839" t="s">
        <v>467</v>
      </c>
      <c r="F839" t="s">
        <v>17</v>
      </c>
      <c r="G839">
        <v>9</v>
      </c>
      <c r="H839">
        <v>259</v>
      </c>
      <c r="I839">
        <v>22.1</v>
      </c>
      <c r="J839" t="s">
        <v>523</v>
      </c>
    </row>
    <row r="840" spans="1:10" x14ac:dyDescent="0.25">
      <c r="A840">
        <v>36</v>
      </c>
      <c r="B840" t="s">
        <v>503</v>
      </c>
      <c r="C840" t="s">
        <v>19</v>
      </c>
      <c r="D840">
        <v>1</v>
      </c>
      <c r="E840" t="s">
        <v>466</v>
      </c>
      <c r="F840" t="s">
        <v>23</v>
      </c>
      <c r="G840">
        <v>2</v>
      </c>
      <c r="H840">
        <v>569</v>
      </c>
      <c r="I840">
        <v>2.2000000000000002</v>
      </c>
      <c r="J840" t="s">
        <v>523</v>
      </c>
    </row>
    <row r="841" spans="1:10" x14ac:dyDescent="0.25">
      <c r="A841">
        <v>36</v>
      </c>
      <c r="B841" t="s">
        <v>503</v>
      </c>
      <c r="C841" t="s">
        <v>19</v>
      </c>
      <c r="D841">
        <v>2</v>
      </c>
      <c r="E841" t="s">
        <v>462</v>
      </c>
      <c r="F841" t="s">
        <v>23</v>
      </c>
      <c r="G841">
        <v>26</v>
      </c>
      <c r="H841">
        <v>816</v>
      </c>
      <c r="I841">
        <v>20.3</v>
      </c>
      <c r="J841" t="s">
        <v>523</v>
      </c>
    </row>
    <row r="842" spans="1:10" x14ac:dyDescent="0.25">
      <c r="A842">
        <v>35</v>
      </c>
      <c r="B842" t="s">
        <v>502</v>
      </c>
      <c r="C842" t="s">
        <v>19</v>
      </c>
      <c r="D842">
        <v>27</v>
      </c>
      <c r="E842" t="s">
        <v>526</v>
      </c>
      <c r="F842" t="s">
        <v>25</v>
      </c>
      <c r="G842">
        <v>16</v>
      </c>
      <c r="H842">
        <v>321</v>
      </c>
      <c r="I842">
        <v>31.8</v>
      </c>
      <c r="J842" t="s">
        <v>523</v>
      </c>
    </row>
    <row r="843" spans="1:10" x14ac:dyDescent="0.25">
      <c r="A843">
        <v>35</v>
      </c>
      <c r="B843" t="s">
        <v>502</v>
      </c>
      <c r="C843" t="s">
        <v>19</v>
      </c>
      <c r="D843">
        <v>30</v>
      </c>
      <c r="E843" t="s">
        <v>530</v>
      </c>
      <c r="F843" t="s">
        <v>14</v>
      </c>
      <c r="G843">
        <v>10</v>
      </c>
      <c r="H843">
        <v>674</v>
      </c>
      <c r="I843">
        <v>9.5</v>
      </c>
      <c r="J843" t="s">
        <v>523</v>
      </c>
    </row>
    <row r="844" spans="1:10" x14ac:dyDescent="0.25">
      <c r="A844">
        <v>36</v>
      </c>
      <c r="B844" t="s">
        <v>503</v>
      </c>
      <c r="C844" t="s">
        <v>19</v>
      </c>
      <c r="D844">
        <v>10</v>
      </c>
      <c r="E844" t="s">
        <v>534</v>
      </c>
      <c r="F844" t="s">
        <v>23</v>
      </c>
      <c r="G844">
        <v>33</v>
      </c>
      <c r="H844">
        <v>657</v>
      </c>
      <c r="I844">
        <v>32</v>
      </c>
      <c r="J844" t="s">
        <v>523</v>
      </c>
    </row>
    <row r="845" spans="1:10" x14ac:dyDescent="0.25">
      <c r="A845">
        <v>36</v>
      </c>
      <c r="B845" t="s">
        <v>503</v>
      </c>
      <c r="C845" t="s">
        <v>19</v>
      </c>
      <c r="D845">
        <v>11</v>
      </c>
      <c r="E845" t="s">
        <v>469</v>
      </c>
      <c r="F845" t="s">
        <v>25</v>
      </c>
      <c r="G845">
        <v>1</v>
      </c>
      <c r="H845">
        <v>119</v>
      </c>
      <c r="I845">
        <v>5.4</v>
      </c>
      <c r="J845" t="s">
        <v>523</v>
      </c>
    </row>
    <row r="846" spans="1:10" x14ac:dyDescent="0.25">
      <c r="A846">
        <v>36</v>
      </c>
      <c r="B846" t="s">
        <v>503</v>
      </c>
      <c r="C846" t="s">
        <v>19</v>
      </c>
      <c r="D846">
        <v>12</v>
      </c>
      <c r="E846" t="s">
        <v>475</v>
      </c>
      <c r="F846" t="s">
        <v>28</v>
      </c>
      <c r="G846">
        <v>1</v>
      </c>
      <c r="H846">
        <v>113</v>
      </c>
      <c r="I846">
        <v>5.6</v>
      </c>
      <c r="J846" t="s">
        <v>523</v>
      </c>
    </row>
    <row r="847" spans="1:10" x14ac:dyDescent="0.25">
      <c r="A847">
        <v>36</v>
      </c>
      <c r="B847" t="s">
        <v>503</v>
      </c>
      <c r="C847" t="s">
        <v>19</v>
      </c>
      <c r="D847">
        <v>13</v>
      </c>
      <c r="E847" t="s">
        <v>481</v>
      </c>
      <c r="F847" t="s">
        <v>17</v>
      </c>
      <c r="G847">
        <v>18</v>
      </c>
      <c r="H847">
        <v>460</v>
      </c>
      <c r="I847">
        <v>24.9</v>
      </c>
      <c r="J847" t="s">
        <v>523</v>
      </c>
    </row>
    <row r="848" spans="1:10" x14ac:dyDescent="0.25">
      <c r="A848">
        <v>36</v>
      </c>
      <c r="B848" t="s">
        <v>503</v>
      </c>
      <c r="C848" t="s">
        <v>19</v>
      </c>
      <c r="D848">
        <v>14</v>
      </c>
      <c r="E848" t="s">
        <v>482</v>
      </c>
      <c r="F848" t="s">
        <v>14</v>
      </c>
      <c r="G848">
        <v>110</v>
      </c>
      <c r="H848">
        <v>5120</v>
      </c>
      <c r="I848">
        <v>13.7</v>
      </c>
      <c r="J848" t="s">
        <v>523</v>
      </c>
    </row>
    <row r="849" spans="1:10" x14ac:dyDescent="0.25">
      <c r="A849">
        <v>36</v>
      </c>
      <c r="B849" t="s">
        <v>503</v>
      </c>
      <c r="C849" t="s">
        <v>19</v>
      </c>
      <c r="D849">
        <v>15</v>
      </c>
      <c r="E849" t="s">
        <v>471</v>
      </c>
      <c r="F849" t="s">
        <v>23</v>
      </c>
      <c r="G849">
        <v>2</v>
      </c>
      <c r="H849">
        <v>540</v>
      </c>
      <c r="I849">
        <v>2.4</v>
      </c>
      <c r="J849" t="s">
        <v>523</v>
      </c>
    </row>
    <row r="850" spans="1:10" x14ac:dyDescent="0.25">
      <c r="A850">
        <v>36</v>
      </c>
      <c r="B850" t="s">
        <v>503</v>
      </c>
      <c r="C850" t="s">
        <v>19</v>
      </c>
      <c r="D850">
        <v>16</v>
      </c>
      <c r="E850" t="s">
        <v>513</v>
      </c>
      <c r="F850" t="s">
        <v>14</v>
      </c>
      <c r="G850">
        <v>7</v>
      </c>
      <c r="H850">
        <v>196</v>
      </c>
      <c r="I850">
        <v>22.8</v>
      </c>
      <c r="J850" t="s">
        <v>523</v>
      </c>
    </row>
    <row r="851" spans="1:10" x14ac:dyDescent="0.25">
      <c r="A851">
        <v>36</v>
      </c>
      <c r="B851" t="s">
        <v>503</v>
      </c>
      <c r="C851" t="s">
        <v>19</v>
      </c>
      <c r="D851">
        <v>17</v>
      </c>
      <c r="E851" t="s">
        <v>531</v>
      </c>
      <c r="F851" t="s">
        <v>25</v>
      </c>
      <c r="G851">
        <v>12</v>
      </c>
      <c r="H851">
        <v>451</v>
      </c>
      <c r="I851">
        <v>16.899999999999999</v>
      </c>
      <c r="J851" t="s">
        <v>523</v>
      </c>
    </row>
    <row r="852" spans="1:10" x14ac:dyDescent="0.25">
      <c r="A852">
        <v>36</v>
      </c>
      <c r="B852" t="s">
        <v>503</v>
      </c>
      <c r="C852" t="s">
        <v>19</v>
      </c>
      <c r="D852">
        <v>18</v>
      </c>
      <c r="E852" t="s">
        <v>532</v>
      </c>
      <c r="F852" t="s">
        <v>23</v>
      </c>
      <c r="G852">
        <v>4</v>
      </c>
      <c r="H852">
        <v>760</v>
      </c>
      <c r="I852">
        <v>3.4</v>
      </c>
      <c r="J852" t="s">
        <v>523</v>
      </c>
    </row>
    <row r="853" spans="1:10" x14ac:dyDescent="0.25">
      <c r="A853">
        <v>36</v>
      </c>
      <c r="B853" t="s">
        <v>503</v>
      </c>
      <c r="C853" t="s">
        <v>19</v>
      </c>
      <c r="D853">
        <v>20</v>
      </c>
      <c r="E853" t="s">
        <v>533</v>
      </c>
      <c r="F853" t="s">
        <v>28</v>
      </c>
      <c r="G853">
        <v>2</v>
      </c>
      <c r="H853">
        <v>46</v>
      </c>
      <c r="I853">
        <v>27.7</v>
      </c>
      <c r="J853" t="s">
        <v>523</v>
      </c>
    </row>
    <row r="854" spans="1:10" x14ac:dyDescent="0.25">
      <c r="A854">
        <v>36</v>
      </c>
      <c r="B854" t="s">
        <v>503</v>
      </c>
      <c r="C854" t="s">
        <v>19</v>
      </c>
      <c r="D854">
        <v>24</v>
      </c>
      <c r="E854" t="s">
        <v>524</v>
      </c>
      <c r="F854" t="s">
        <v>28</v>
      </c>
      <c r="G854">
        <v>9</v>
      </c>
      <c r="H854">
        <v>438</v>
      </c>
      <c r="I854">
        <v>13.1</v>
      </c>
      <c r="J854" t="s">
        <v>523</v>
      </c>
    </row>
    <row r="855" spans="1:10" x14ac:dyDescent="0.25">
      <c r="A855">
        <v>36</v>
      </c>
      <c r="B855" t="s">
        <v>503</v>
      </c>
      <c r="C855" t="s">
        <v>19</v>
      </c>
      <c r="D855">
        <v>26</v>
      </c>
      <c r="E855" t="s">
        <v>519</v>
      </c>
      <c r="F855" t="s">
        <v>25</v>
      </c>
      <c r="G855">
        <v>7</v>
      </c>
      <c r="H855">
        <v>164</v>
      </c>
      <c r="I855">
        <v>27.2</v>
      </c>
      <c r="J855" t="s">
        <v>523</v>
      </c>
    </row>
    <row r="856" spans="1:10" x14ac:dyDescent="0.25">
      <c r="A856">
        <v>35</v>
      </c>
      <c r="B856" t="s">
        <v>502</v>
      </c>
      <c r="C856" t="s">
        <v>19</v>
      </c>
      <c r="D856">
        <v>17</v>
      </c>
      <c r="E856" t="s">
        <v>531</v>
      </c>
      <c r="F856" t="s">
        <v>25</v>
      </c>
      <c r="G856">
        <v>10</v>
      </c>
      <c r="H856">
        <v>235</v>
      </c>
      <c r="I856">
        <v>27.1</v>
      </c>
      <c r="J856" t="s">
        <v>523</v>
      </c>
    </row>
    <row r="857" spans="1:10" x14ac:dyDescent="0.25">
      <c r="A857">
        <v>35</v>
      </c>
      <c r="B857" t="s">
        <v>502</v>
      </c>
      <c r="C857" t="s">
        <v>19</v>
      </c>
      <c r="D857">
        <v>18</v>
      </c>
      <c r="E857" t="s">
        <v>532</v>
      </c>
      <c r="F857" t="s">
        <v>23</v>
      </c>
      <c r="G857">
        <v>11</v>
      </c>
      <c r="H857">
        <v>1128</v>
      </c>
      <c r="I857">
        <v>6.2</v>
      </c>
      <c r="J857" t="s">
        <v>523</v>
      </c>
    </row>
    <row r="858" spans="1:10" x14ac:dyDescent="0.25">
      <c r="A858">
        <v>35</v>
      </c>
      <c r="B858" t="s">
        <v>502</v>
      </c>
      <c r="C858" t="s">
        <v>19</v>
      </c>
      <c r="D858">
        <v>19</v>
      </c>
      <c r="E858" t="s">
        <v>522</v>
      </c>
      <c r="F858" t="s">
        <v>25</v>
      </c>
      <c r="G858">
        <v>44</v>
      </c>
      <c r="H858">
        <v>1348</v>
      </c>
      <c r="I858">
        <v>20.8</v>
      </c>
      <c r="J858" t="s">
        <v>523</v>
      </c>
    </row>
    <row r="859" spans="1:10" x14ac:dyDescent="0.25">
      <c r="A859">
        <v>35</v>
      </c>
      <c r="B859" t="s">
        <v>502</v>
      </c>
      <c r="C859" t="s">
        <v>19</v>
      </c>
      <c r="D859">
        <v>21</v>
      </c>
      <c r="E859" t="s">
        <v>476</v>
      </c>
      <c r="F859" t="s">
        <v>28</v>
      </c>
      <c r="G859">
        <v>6</v>
      </c>
      <c r="H859">
        <v>221</v>
      </c>
      <c r="I859">
        <v>17.3</v>
      </c>
      <c r="J859" t="s">
        <v>523</v>
      </c>
    </row>
    <row r="860" spans="1:10" x14ac:dyDescent="0.25">
      <c r="A860">
        <v>35</v>
      </c>
      <c r="B860" t="s">
        <v>502</v>
      </c>
      <c r="C860" t="s">
        <v>19</v>
      </c>
      <c r="D860">
        <v>23</v>
      </c>
      <c r="E860" t="s">
        <v>506</v>
      </c>
      <c r="F860" t="s">
        <v>23</v>
      </c>
      <c r="G860">
        <v>5</v>
      </c>
      <c r="H860">
        <v>138</v>
      </c>
      <c r="I860">
        <v>23.1</v>
      </c>
      <c r="J860" t="s">
        <v>523</v>
      </c>
    </row>
    <row r="861" spans="1:10" x14ac:dyDescent="0.25">
      <c r="A861">
        <v>35</v>
      </c>
      <c r="B861" t="s">
        <v>502</v>
      </c>
      <c r="C861" t="s">
        <v>19</v>
      </c>
      <c r="D861">
        <v>13</v>
      </c>
      <c r="E861" t="s">
        <v>481</v>
      </c>
      <c r="F861" t="s">
        <v>17</v>
      </c>
      <c r="G861">
        <v>3</v>
      </c>
      <c r="H861">
        <v>222</v>
      </c>
      <c r="I861">
        <v>8.6</v>
      </c>
      <c r="J861" t="s">
        <v>523</v>
      </c>
    </row>
    <row r="862" spans="1:10" x14ac:dyDescent="0.25">
      <c r="A862">
        <v>35</v>
      </c>
      <c r="B862" t="s">
        <v>502</v>
      </c>
      <c r="C862" t="s">
        <v>19</v>
      </c>
      <c r="D862">
        <v>25</v>
      </c>
      <c r="E862" t="s">
        <v>525</v>
      </c>
      <c r="F862" t="s">
        <v>25</v>
      </c>
      <c r="G862">
        <v>14</v>
      </c>
      <c r="H862">
        <v>2034</v>
      </c>
      <c r="I862">
        <v>4.4000000000000004</v>
      </c>
      <c r="J862" t="s">
        <v>523</v>
      </c>
    </row>
    <row r="863" spans="1:10" x14ac:dyDescent="0.25">
      <c r="A863">
        <v>34</v>
      </c>
      <c r="B863" t="s">
        <v>501</v>
      </c>
      <c r="C863" t="s">
        <v>19</v>
      </c>
      <c r="D863">
        <v>29</v>
      </c>
      <c r="E863" t="s">
        <v>472</v>
      </c>
      <c r="F863" t="s">
        <v>23</v>
      </c>
      <c r="G863">
        <v>3</v>
      </c>
      <c r="H863">
        <v>134</v>
      </c>
      <c r="I863">
        <v>14.3</v>
      </c>
      <c r="J863" t="s">
        <v>523</v>
      </c>
    </row>
    <row r="864" spans="1:10" x14ac:dyDescent="0.25">
      <c r="A864">
        <v>35</v>
      </c>
      <c r="B864" t="s">
        <v>502</v>
      </c>
      <c r="C864" t="s">
        <v>19</v>
      </c>
      <c r="D864">
        <v>1</v>
      </c>
      <c r="E864" t="s">
        <v>466</v>
      </c>
      <c r="F864" t="s">
        <v>23</v>
      </c>
      <c r="G864">
        <v>8</v>
      </c>
      <c r="H864">
        <v>1167</v>
      </c>
      <c r="I864">
        <v>4.4000000000000004</v>
      </c>
      <c r="J864" t="s">
        <v>523</v>
      </c>
    </row>
    <row r="865" spans="1:10" x14ac:dyDescent="0.25">
      <c r="A865">
        <v>35</v>
      </c>
      <c r="B865" t="s">
        <v>502</v>
      </c>
      <c r="C865" t="s">
        <v>19</v>
      </c>
      <c r="D865">
        <v>3</v>
      </c>
      <c r="E865" t="s">
        <v>493</v>
      </c>
      <c r="F865" t="s">
        <v>25</v>
      </c>
      <c r="G865">
        <v>12</v>
      </c>
      <c r="H865">
        <v>1435</v>
      </c>
      <c r="I865">
        <v>5.3</v>
      </c>
      <c r="J865" t="s">
        <v>523</v>
      </c>
    </row>
    <row r="866" spans="1:10" x14ac:dyDescent="0.25">
      <c r="A866">
        <v>35</v>
      </c>
      <c r="B866" t="s">
        <v>502</v>
      </c>
      <c r="C866" t="s">
        <v>19</v>
      </c>
      <c r="D866">
        <v>6</v>
      </c>
      <c r="E866" t="s">
        <v>527</v>
      </c>
      <c r="F866" t="s">
        <v>17</v>
      </c>
      <c r="G866">
        <v>31</v>
      </c>
      <c r="H866">
        <v>2077</v>
      </c>
      <c r="I866">
        <v>9.5</v>
      </c>
      <c r="J866" t="s">
        <v>523</v>
      </c>
    </row>
    <row r="867" spans="1:10" x14ac:dyDescent="0.25">
      <c r="A867">
        <v>35</v>
      </c>
      <c r="B867" t="s">
        <v>502</v>
      </c>
      <c r="C867" t="s">
        <v>19</v>
      </c>
      <c r="D867">
        <v>7</v>
      </c>
      <c r="E867" t="s">
        <v>528</v>
      </c>
      <c r="F867" t="s">
        <v>28</v>
      </c>
      <c r="G867">
        <v>10</v>
      </c>
      <c r="H867">
        <v>613</v>
      </c>
      <c r="I867">
        <v>10.4</v>
      </c>
      <c r="J867" t="s">
        <v>523</v>
      </c>
    </row>
    <row r="868" spans="1:10" x14ac:dyDescent="0.25">
      <c r="A868">
        <v>35</v>
      </c>
      <c r="B868" t="s">
        <v>502</v>
      </c>
      <c r="C868" t="s">
        <v>19</v>
      </c>
      <c r="D868">
        <v>8</v>
      </c>
      <c r="E868" t="s">
        <v>529</v>
      </c>
      <c r="F868" t="s">
        <v>14</v>
      </c>
      <c r="G868">
        <v>77</v>
      </c>
      <c r="H868">
        <v>1905</v>
      </c>
      <c r="I868">
        <v>25.7</v>
      </c>
      <c r="J868" t="s">
        <v>523</v>
      </c>
    </row>
    <row r="869" spans="1:10" x14ac:dyDescent="0.25">
      <c r="A869">
        <v>35</v>
      </c>
      <c r="B869" t="s">
        <v>502</v>
      </c>
      <c r="C869" t="s">
        <v>19</v>
      </c>
      <c r="D869">
        <v>9</v>
      </c>
      <c r="E869" t="s">
        <v>468</v>
      </c>
      <c r="F869" t="s">
        <v>23</v>
      </c>
      <c r="G869">
        <v>4</v>
      </c>
      <c r="H869">
        <v>751</v>
      </c>
      <c r="I869">
        <v>3.4</v>
      </c>
      <c r="J869" t="s">
        <v>523</v>
      </c>
    </row>
    <row r="870" spans="1:10" x14ac:dyDescent="0.25">
      <c r="A870">
        <v>34</v>
      </c>
      <c r="B870" t="s">
        <v>501</v>
      </c>
      <c r="C870" t="s">
        <v>19</v>
      </c>
      <c r="D870">
        <v>12</v>
      </c>
      <c r="E870" t="s">
        <v>475</v>
      </c>
      <c r="F870" t="s">
        <v>28</v>
      </c>
      <c r="G870">
        <v>6</v>
      </c>
      <c r="H870">
        <v>155</v>
      </c>
      <c r="I870">
        <v>24.7</v>
      </c>
      <c r="J870" t="s">
        <v>523</v>
      </c>
    </row>
    <row r="871" spans="1:10" x14ac:dyDescent="0.25">
      <c r="A871">
        <v>34</v>
      </c>
      <c r="B871" t="s">
        <v>501</v>
      </c>
      <c r="C871" t="s">
        <v>19</v>
      </c>
      <c r="D871">
        <v>13</v>
      </c>
      <c r="E871" t="s">
        <v>481</v>
      </c>
      <c r="F871" t="s">
        <v>17</v>
      </c>
      <c r="G871">
        <v>3</v>
      </c>
      <c r="H871">
        <v>288</v>
      </c>
      <c r="I871">
        <v>6.6</v>
      </c>
      <c r="J871" t="s">
        <v>523</v>
      </c>
    </row>
    <row r="872" spans="1:10" x14ac:dyDescent="0.25">
      <c r="A872">
        <v>34</v>
      </c>
      <c r="B872" t="s">
        <v>501</v>
      </c>
      <c r="C872" t="s">
        <v>19</v>
      </c>
      <c r="D872">
        <v>14</v>
      </c>
      <c r="E872" t="s">
        <v>482</v>
      </c>
      <c r="F872" t="s">
        <v>14</v>
      </c>
      <c r="G872">
        <v>5</v>
      </c>
      <c r="H872">
        <v>414</v>
      </c>
      <c r="I872">
        <v>7.7</v>
      </c>
      <c r="J872" t="s">
        <v>523</v>
      </c>
    </row>
    <row r="873" spans="1:10" x14ac:dyDescent="0.25">
      <c r="A873">
        <v>34</v>
      </c>
      <c r="B873" t="s">
        <v>501</v>
      </c>
      <c r="C873" t="s">
        <v>19</v>
      </c>
      <c r="D873">
        <v>15</v>
      </c>
      <c r="E873" t="s">
        <v>471</v>
      </c>
      <c r="F873" t="s">
        <v>23</v>
      </c>
      <c r="G873">
        <v>10</v>
      </c>
      <c r="H873">
        <v>580</v>
      </c>
      <c r="I873">
        <v>11</v>
      </c>
      <c r="J873" t="s">
        <v>523</v>
      </c>
    </row>
    <row r="874" spans="1:10" x14ac:dyDescent="0.25">
      <c r="A874">
        <v>34</v>
      </c>
      <c r="B874" t="s">
        <v>501</v>
      </c>
      <c r="C874" t="s">
        <v>19</v>
      </c>
      <c r="D874">
        <v>16</v>
      </c>
      <c r="E874" t="s">
        <v>513</v>
      </c>
      <c r="F874" t="s">
        <v>14</v>
      </c>
      <c r="G874">
        <v>7</v>
      </c>
      <c r="H874">
        <v>189</v>
      </c>
      <c r="I874">
        <v>23.6</v>
      </c>
      <c r="J874" t="s">
        <v>523</v>
      </c>
    </row>
    <row r="875" spans="1:10" x14ac:dyDescent="0.25">
      <c r="A875">
        <v>34</v>
      </c>
      <c r="B875" t="s">
        <v>501</v>
      </c>
      <c r="C875" t="s">
        <v>19</v>
      </c>
      <c r="D875">
        <v>17</v>
      </c>
      <c r="E875" t="s">
        <v>531</v>
      </c>
      <c r="F875" t="s">
        <v>25</v>
      </c>
      <c r="G875">
        <v>19</v>
      </c>
      <c r="H875">
        <v>461</v>
      </c>
      <c r="I875">
        <v>26.3</v>
      </c>
      <c r="J875" t="s">
        <v>523</v>
      </c>
    </row>
    <row r="876" spans="1:10" x14ac:dyDescent="0.25">
      <c r="A876">
        <v>34</v>
      </c>
      <c r="B876" t="s">
        <v>501</v>
      </c>
      <c r="C876" t="s">
        <v>19</v>
      </c>
      <c r="D876">
        <v>18</v>
      </c>
      <c r="E876" t="s">
        <v>532</v>
      </c>
      <c r="F876" t="s">
        <v>23</v>
      </c>
      <c r="G876">
        <v>12</v>
      </c>
      <c r="H876">
        <v>756</v>
      </c>
      <c r="I876">
        <v>10.1</v>
      </c>
      <c r="J876" t="s">
        <v>523</v>
      </c>
    </row>
    <row r="877" spans="1:10" x14ac:dyDescent="0.25">
      <c r="A877">
        <v>34</v>
      </c>
      <c r="B877" t="s">
        <v>501</v>
      </c>
      <c r="C877" t="s">
        <v>19</v>
      </c>
      <c r="D877">
        <v>19</v>
      </c>
      <c r="E877" t="s">
        <v>522</v>
      </c>
      <c r="F877" t="s">
        <v>25</v>
      </c>
      <c r="G877">
        <v>14</v>
      </c>
      <c r="H877">
        <v>1379</v>
      </c>
      <c r="I877">
        <v>6.5</v>
      </c>
      <c r="J877" t="s">
        <v>523</v>
      </c>
    </row>
    <row r="878" spans="1:10" x14ac:dyDescent="0.25">
      <c r="A878">
        <v>34</v>
      </c>
      <c r="B878" t="s">
        <v>501</v>
      </c>
      <c r="C878" t="s">
        <v>19</v>
      </c>
      <c r="D878">
        <v>24</v>
      </c>
      <c r="E878" t="s">
        <v>524</v>
      </c>
      <c r="F878" t="s">
        <v>28</v>
      </c>
      <c r="G878">
        <v>28</v>
      </c>
      <c r="H878">
        <v>522</v>
      </c>
      <c r="I878">
        <v>34.200000000000003</v>
      </c>
      <c r="J878" t="s">
        <v>523</v>
      </c>
    </row>
    <row r="879" spans="1:10" x14ac:dyDescent="0.25">
      <c r="A879">
        <v>34</v>
      </c>
      <c r="B879" t="s">
        <v>501</v>
      </c>
      <c r="C879" t="s">
        <v>19</v>
      </c>
      <c r="D879">
        <v>25</v>
      </c>
      <c r="E879" t="s">
        <v>525</v>
      </c>
      <c r="F879" t="s">
        <v>25</v>
      </c>
      <c r="G879">
        <v>131</v>
      </c>
      <c r="H879">
        <v>2682</v>
      </c>
      <c r="I879">
        <v>31.1</v>
      </c>
      <c r="J879" t="s">
        <v>523</v>
      </c>
    </row>
    <row r="880" spans="1:10" x14ac:dyDescent="0.25">
      <c r="A880">
        <v>34</v>
      </c>
      <c r="B880" t="s">
        <v>501</v>
      </c>
      <c r="C880" t="s">
        <v>19</v>
      </c>
      <c r="D880">
        <v>26</v>
      </c>
      <c r="E880" t="s">
        <v>519</v>
      </c>
      <c r="F880" t="s">
        <v>25</v>
      </c>
      <c r="G880">
        <v>3</v>
      </c>
      <c r="H880">
        <v>66</v>
      </c>
      <c r="I880">
        <v>29</v>
      </c>
      <c r="J880" t="s">
        <v>523</v>
      </c>
    </row>
    <row r="881" spans="1:10" x14ac:dyDescent="0.25">
      <c r="A881">
        <v>34</v>
      </c>
      <c r="B881" t="s">
        <v>501</v>
      </c>
      <c r="C881" t="s">
        <v>19</v>
      </c>
      <c r="D881">
        <v>27</v>
      </c>
      <c r="E881" t="s">
        <v>526</v>
      </c>
      <c r="F881" t="s">
        <v>25</v>
      </c>
      <c r="G881">
        <v>12</v>
      </c>
      <c r="H881">
        <v>557</v>
      </c>
      <c r="I881">
        <v>13.7</v>
      </c>
      <c r="J881" t="s">
        <v>523</v>
      </c>
    </row>
    <row r="882" spans="1:10" x14ac:dyDescent="0.25">
      <c r="A882">
        <v>34</v>
      </c>
      <c r="B882" t="s">
        <v>501</v>
      </c>
      <c r="C882" t="s">
        <v>19</v>
      </c>
      <c r="D882">
        <v>31</v>
      </c>
      <c r="E882" t="s">
        <v>496</v>
      </c>
      <c r="F882" t="s">
        <v>28</v>
      </c>
      <c r="G882">
        <v>30</v>
      </c>
      <c r="H882">
        <v>940</v>
      </c>
      <c r="I882">
        <v>20.3</v>
      </c>
      <c r="J882" t="s">
        <v>523</v>
      </c>
    </row>
    <row r="883" spans="1:10" x14ac:dyDescent="0.25">
      <c r="A883">
        <v>33</v>
      </c>
      <c r="B883" t="s">
        <v>500</v>
      </c>
      <c r="C883" t="s">
        <v>15</v>
      </c>
      <c r="D883">
        <v>22</v>
      </c>
      <c r="E883" t="s">
        <v>536</v>
      </c>
      <c r="F883" t="s">
        <v>14</v>
      </c>
      <c r="G883">
        <v>5</v>
      </c>
      <c r="H883">
        <v>108</v>
      </c>
      <c r="I883">
        <v>29.5</v>
      </c>
      <c r="J883" t="s">
        <v>523</v>
      </c>
    </row>
    <row r="884" spans="1:10" x14ac:dyDescent="0.25">
      <c r="A884">
        <v>34</v>
      </c>
      <c r="B884" t="s">
        <v>501</v>
      </c>
      <c r="C884" t="s">
        <v>19</v>
      </c>
      <c r="D884">
        <v>5</v>
      </c>
      <c r="E884" t="s">
        <v>464</v>
      </c>
      <c r="F884" t="s">
        <v>14</v>
      </c>
      <c r="G884">
        <v>7</v>
      </c>
      <c r="H884">
        <v>219</v>
      </c>
      <c r="I884">
        <v>20.399999999999999</v>
      </c>
      <c r="J884" t="s">
        <v>523</v>
      </c>
    </row>
    <row r="885" spans="1:10" x14ac:dyDescent="0.25">
      <c r="A885">
        <v>34</v>
      </c>
      <c r="B885" t="s">
        <v>501</v>
      </c>
      <c r="C885" t="s">
        <v>19</v>
      </c>
      <c r="D885">
        <v>6</v>
      </c>
      <c r="E885" t="s">
        <v>527</v>
      </c>
      <c r="F885" t="s">
        <v>17</v>
      </c>
      <c r="G885">
        <v>24</v>
      </c>
      <c r="H885">
        <v>2101</v>
      </c>
      <c r="I885">
        <v>7.3</v>
      </c>
      <c r="J885" t="s">
        <v>523</v>
      </c>
    </row>
    <row r="886" spans="1:10" x14ac:dyDescent="0.25">
      <c r="A886">
        <v>34</v>
      </c>
      <c r="B886" t="s">
        <v>501</v>
      </c>
      <c r="C886" t="s">
        <v>19</v>
      </c>
      <c r="D886">
        <v>7</v>
      </c>
      <c r="E886" t="s">
        <v>528</v>
      </c>
      <c r="F886" t="s">
        <v>28</v>
      </c>
      <c r="G886">
        <v>5</v>
      </c>
      <c r="H886">
        <v>752</v>
      </c>
      <c r="I886">
        <v>4.2</v>
      </c>
      <c r="J886" t="s">
        <v>523</v>
      </c>
    </row>
    <row r="887" spans="1:10" x14ac:dyDescent="0.25">
      <c r="A887">
        <v>34</v>
      </c>
      <c r="B887" t="s">
        <v>501</v>
      </c>
      <c r="C887" t="s">
        <v>19</v>
      </c>
      <c r="D887">
        <v>8</v>
      </c>
      <c r="E887" t="s">
        <v>529</v>
      </c>
      <c r="F887" t="s">
        <v>14</v>
      </c>
      <c r="G887">
        <v>68</v>
      </c>
      <c r="H887">
        <v>1545</v>
      </c>
      <c r="I887">
        <v>28</v>
      </c>
      <c r="J887" t="s">
        <v>523</v>
      </c>
    </row>
    <row r="888" spans="1:10" x14ac:dyDescent="0.25">
      <c r="A888">
        <v>33</v>
      </c>
      <c r="B888" t="s">
        <v>500</v>
      </c>
      <c r="C888" t="s">
        <v>15</v>
      </c>
      <c r="D888">
        <v>31</v>
      </c>
      <c r="E888" t="s">
        <v>496</v>
      </c>
      <c r="F888" t="s">
        <v>28</v>
      </c>
      <c r="G888">
        <v>7</v>
      </c>
      <c r="H888">
        <v>2270</v>
      </c>
      <c r="I888">
        <v>2</v>
      </c>
      <c r="J888" t="s">
        <v>523</v>
      </c>
    </row>
    <row r="889" spans="1:10" x14ac:dyDescent="0.25">
      <c r="A889">
        <v>34</v>
      </c>
      <c r="B889" t="s">
        <v>501</v>
      </c>
      <c r="C889" t="s">
        <v>19</v>
      </c>
      <c r="D889">
        <v>1</v>
      </c>
      <c r="E889" t="s">
        <v>466</v>
      </c>
      <c r="F889" t="s">
        <v>23</v>
      </c>
      <c r="G889">
        <v>5</v>
      </c>
      <c r="H889">
        <v>1319</v>
      </c>
      <c r="I889">
        <v>2.4</v>
      </c>
      <c r="J889" t="s">
        <v>523</v>
      </c>
    </row>
    <row r="890" spans="1:10" x14ac:dyDescent="0.25">
      <c r="A890">
        <v>34</v>
      </c>
      <c r="B890" t="s">
        <v>501</v>
      </c>
      <c r="C890" t="s">
        <v>19</v>
      </c>
      <c r="D890">
        <v>2</v>
      </c>
      <c r="E890" t="s">
        <v>462</v>
      </c>
      <c r="F890" t="s">
        <v>23</v>
      </c>
      <c r="G890">
        <v>25</v>
      </c>
      <c r="H890">
        <v>636</v>
      </c>
      <c r="I890">
        <v>25</v>
      </c>
      <c r="J890" t="s">
        <v>523</v>
      </c>
    </row>
    <row r="891" spans="1:10" x14ac:dyDescent="0.25">
      <c r="A891">
        <v>34</v>
      </c>
      <c r="B891" t="s">
        <v>501</v>
      </c>
      <c r="C891" t="s">
        <v>19</v>
      </c>
      <c r="D891">
        <v>3</v>
      </c>
      <c r="E891" t="s">
        <v>493</v>
      </c>
      <c r="F891" t="s">
        <v>25</v>
      </c>
      <c r="G891">
        <v>17</v>
      </c>
      <c r="H891">
        <v>1812</v>
      </c>
      <c r="I891">
        <v>6</v>
      </c>
      <c r="J891" t="s">
        <v>523</v>
      </c>
    </row>
    <row r="892" spans="1:10" x14ac:dyDescent="0.25">
      <c r="A892">
        <v>33</v>
      </c>
      <c r="B892" t="s">
        <v>500</v>
      </c>
      <c r="C892" t="s">
        <v>15</v>
      </c>
      <c r="D892">
        <v>16</v>
      </c>
      <c r="E892" t="s">
        <v>513</v>
      </c>
      <c r="F892" t="s">
        <v>14</v>
      </c>
      <c r="G892">
        <v>5</v>
      </c>
      <c r="H892">
        <v>159</v>
      </c>
      <c r="I892">
        <v>20</v>
      </c>
      <c r="J892" t="s">
        <v>523</v>
      </c>
    </row>
    <row r="893" spans="1:10" x14ac:dyDescent="0.25">
      <c r="A893">
        <v>33</v>
      </c>
      <c r="B893" t="s">
        <v>500</v>
      </c>
      <c r="C893" t="s">
        <v>15</v>
      </c>
      <c r="D893">
        <v>17</v>
      </c>
      <c r="E893" t="s">
        <v>531</v>
      </c>
      <c r="F893" t="s">
        <v>25</v>
      </c>
      <c r="G893">
        <v>2</v>
      </c>
      <c r="H893">
        <v>469</v>
      </c>
      <c r="I893">
        <v>2.7</v>
      </c>
      <c r="J893" t="s">
        <v>523</v>
      </c>
    </row>
    <row r="894" spans="1:10" x14ac:dyDescent="0.25">
      <c r="A894">
        <v>33</v>
      </c>
      <c r="B894" t="s">
        <v>500</v>
      </c>
      <c r="C894" t="s">
        <v>15</v>
      </c>
      <c r="D894">
        <v>18</v>
      </c>
      <c r="E894" t="s">
        <v>532</v>
      </c>
      <c r="F894" t="s">
        <v>23</v>
      </c>
      <c r="G894">
        <v>15</v>
      </c>
      <c r="H894">
        <v>1177</v>
      </c>
      <c r="I894">
        <v>8.1</v>
      </c>
      <c r="J894" t="s">
        <v>523</v>
      </c>
    </row>
    <row r="895" spans="1:10" x14ac:dyDescent="0.25">
      <c r="A895">
        <v>33</v>
      </c>
      <c r="B895" t="s">
        <v>500</v>
      </c>
      <c r="C895" t="s">
        <v>15</v>
      </c>
      <c r="D895">
        <v>24</v>
      </c>
      <c r="E895" t="s">
        <v>524</v>
      </c>
      <c r="F895" t="s">
        <v>28</v>
      </c>
      <c r="G895">
        <v>27</v>
      </c>
      <c r="H895">
        <v>708</v>
      </c>
      <c r="I895">
        <v>24.3</v>
      </c>
      <c r="J895" t="s">
        <v>523</v>
      </c>
    </row>
    <row r="896" spans="1:10" x14ac:dyDescent="0.25">
      <c r="A896">
        <v>33</v>
      </c>
      <c r="B896" t="s">
        <v>500</v>
      </c>
      <c r="C896" t="s">
        <v>15</v>
      </c>
      <c r="D896">
        <v>25</v>
      </c>
      <c r="E896" t="s">
        <v>525</v>
      </c>
      <c r="F896" t="s">
        <v>25</v>
      </c>
      <c r="G896">
        <v>57</v>
      </c>
      <c r="H896">
        <v>1685</v>
      </c>
      <c r="I896">
        <v>21.5</v>
      </c>
      <c r="J896" t="s">
        <v>523</v>
      </c>
    </row>
    <row r="897" spans="1:10" x14ac:dyDescent="0.25">
      <c r="A897">
        <v>33</v>
      </c>
      <c r="B897" t="s">
        <v>500</v>
      </c>
      <c r="C897" t="s">
        <v>15</v>
      </c>
      <c r="D897">
        <v>26</v>
      </c>
      <c r="E897" t="s">
        <v>519</v>
      </c>
      <c r="F897" t="s">
        <v>25</v>
      </c>
      <c r="G897">
        <v>5</v>
      </c>
      <c r="H897">
        <v>148</v>
      </c>
      <c r="I897">
        <v>21.5</v>
      </c>
      <c r="J897" t="s">
        <v>523</v>
      </c>
    </row>
    <row r="898" spans="1:10" x14ac:dyDescent="0.25">
      <c r="A898">
        <v>33</v>
      </c>
      <c r="B898" t="s">
        <v>500</v>
      </c>
      <c r="C898" t="s">
        <v>15</v>
      </c>
      <c r="D898">
        <v>27</v>
      </c>
      <c r="E898" t="s">
        <v>526</v>
      </c>
      <c r="F898" t="s">
        <v>25</v>
      </c>
      <c r="G898">
        <v>6</v>
      </c>
      <c r="H898">
        <v>450</v>
      </c>
      <c r="I898">
        <v>8.5</v>
      </c>
      <c r="J898" t="s">
        <v>523</v>
      </c>
    </row>
    <row r="899" spans="1:10" x14ac:dyDescent="0.25">
      <c r="A899">
        <v>33</v>
      </c>
      <c r="B899" t="s">
        <v>500</v>
      </c>
      <c r="C899" t="s">
        <v>15</v>
      </c>
      <c r="D899">
        <v>28</v>
      </c>
      <c r="E899" t="s">
        <v>477</v>
      </c>
      <c r="F899" t="s">
        <v>25</v>
      </c>
      <c r="G899">
        <v>5</v>
      </c>
      <c r="H899">
        <v>103</v>
      </c>
      <c r="I899">
        <v>30.9</v>
      </c>
      <c r="J899" t="s">
        <v>523</v>
      </c>
    </row>
    <row r="900" spans="1:10" x14ac:dyDescent="0.25">
      <c r="A900">
        <v>33</v>
      </c>
      <c r="B900" t="s">
        <v>500</v>
      </c>
      <c r="C900" t="s">
        <v>15</v>
      </c>
      <c r="D900">
        <v>14</v>
      </c>
      <c r="E900" t="s">
        <v>482</v>
      </c>
      <c r="F900" t="s">
        <v>14</v>
      </c>
      <c r="G900">
        <v>11</v>
      </c>
      <c r="H900">
        <v>3356</v>
      </c>
      <c r="I900">
        <v>2.1</v>
      </c>
      <c r="J900" t="s">
        <v>523</v>
      </c>
    </row>
    <row r="901" spans="1:10" x14ac:dyDescent="0.25">
      <c r="A901">
        <v>33</v>
      </c>
      <c r="B901" t="s">
        <v>500</v>
      </c>
      <c r="C901" t="s">
        <v>15</v>
      </c>
      <c r="D901">
        <v>1</v>
      </c>
      <c r="E901" t="s">
        <v>466</v>
      </c>
      <c r="F901" t="s">
        <v>23</v>
      </c>
      <c r="G901">
        <v>10</v>
      </c>
      <c r="H901">
        <v>879</v>
      </c>
      <c r="I901">
        <v>7.2</v>
      </c>
      <c r="J901" t="s">
        <v>523</v>
      </c>
    </row>
    <row r="902" spans="1:10" x14ac:dyDescent="0.25">
      <c r="A902">
        <v>33</v>
      </c>
      <c r="B902" t="s">
        <v>500</v>
      </c>
      <c r="C902" t="s">
        <v>15</v>
      </c>
      <c r="D902">
        <v>2</v>
      </c>
      <c r="E902" t="s">
        <v>462</v>
      </c>
      <c r="F902" t="s">
        <v>23</v>
      </c>
      <c r="G902">
        <v>16</v>
      </c>
      <c r="H902">
        <v>415</v>
      </c>
      <c r="I902">
        <v>24.6</v>
      </c>
      <c r="J902" t="s">
        <v>523</v>
      </c>
    </row>
    <row r="903" spans="1:10" x14ac:dyDescent="0.25">
      <c r="A903">
        <v>33</v>
      </c>
      <c r="B903" t="s">
        <v>500</v>
      </c>
      <c r="C903" t="s">
        <v>15</v>
      </c>
      <c r="D903">
        <v>3</v>
      </c>
      <c r="E903" t="s">
        <v>493</v>
      </c>
      <c r="F903" t="s">
        <v>25</v>
      </c>
      <c r="G903">
        <v>21</v>
      </c>
      <c r="H903">
        <v>811</v>
      </c>
      <c r="I903">
        <v>16.5</v>
      </c>
      <c r="J903" t="s">
        <v>523</v>
      </c>
    </row>
    <row r="904" spans="1:10" x14ac:dyDescent="0.25">
      <c r="A904">
        <v>32</v>
      </c>
      <c r="B904" t="s">
        <v>499</v>
      </c>
      <c r="C904" t="s">
        <v>21</v>
      </c>
      <c r="D904">
        <v>25</v>
      </c>
      <c r="E904" t="s">
        <v>525</v>
      </c>
      <c r="F904" t="s">
        <v>25</v>
      </c>
      <c r="G904">
        <v>20</v>
      </c>
      <c r="H904">
        <v>2053</v>
      </c>
      <c r="I904">
        <v>6.2</v>
      </c>
      <c r="J904" t="s">
        <v>523</v>
      </c>
    </row>
    <row r="905" spans="1:10" x14ac:dyDescent="0.25">
      <c r="A905">
        <v>32</v>
      </c>
      <c r="B905" t="s">
        <v>499</v>
      </c>
      <c r="C905" t="s">
        <v>21</v>
      </c>
      <c r="D905">
        <v>30</v>
      </c>
      <c r="E905" t="s">
        <v>530</v>
      </c>
      <c r="F905" t="s">
        <v>14</v>
      </c>
      <c r="G905">
        <v>28</v>
      </c>
      <c r="H905">
        <v>926</v>
      </c>
      <c r="I905">
        <v>19.3</v>
      </c>
      <c r="J905" t="s">
        <v>523</v>
      </c>
    </row>
    <row r="906" spans="1:10" x14ac:dyDescent="0.25">
      <c r="A906">
        <v>32</v>
      </c>
      <c r="B906" t="s">
        <v>499</v>
      </c>
      <c r="C906" t="s">
        <v>21</v>
      </c>
      <c r="D906">
        <v>31</v>
      </c>
      <c r="E906" t="s">
        <v>496</v>
      </c>
      <c r="F906" t="s">
        <v>28</v>
      </c>
      <c r="G906">
        <v>4</v>
      </c>
      <c r="H906">
        <v>1002</v>
      </c>
      <c r="I906">
        <v>2.5</v>
      </c>
      <c r="J906" t="s">
        <v>523</v>
      </c>
    </row>
    <row r="907" spans="1:10" x14ac:dyDescent="0.25">
      <c r="A907">
        <v>33</v>
      </c>
      <c r="B907" t="s">
        <v>500</v>
      </c>
      <c r="C907" t="s">
        <v>15</v>
      </c>
      <c r="D907">
        <v>5</v>
      </c>
      <c r="E907" t="s">
        <v>464</v>
      </c>
      <c r="F907" t="s">
        <v>14</v>
      </c>
      <c r="G907">
        <v>7</v>
      </c>
      <c r="H907">
        <v>174</v>
      </c>
      <c r="I907">
        <v>25.6</v>
      </c>
      <c r="J907" t="s">
        <v>523</v>
      </c>
    </row>
    <row r="908" spans="1:10" x14ac:dyDescent="0.25">
      <c r="A908">
        <v>33</v>
      </c>
      <c r="B908" t="s">
        <v>500</v>
      </c>
      <c r="C908" t="s">
        <v>15</v>
      </c>
      <c r="D908">
        <v>6</v>
      </c>
      <c r="E908" t="s">
        <v>527</v>
      </c>
      <c r="F908" t="s">
        <v>17</v>
      </c>
      <c r="G908">
        <v>8</v>
      </c>
      <c r="H908">
        <v>2046</v>
      </c>
      <c r="I908">
        <v>2.5</v>
      </c>
      <c r="J908" t="s">
        <v>523</v>
      </c>
    </row>
    <row r="909" spans="1:10" x14ac:dyDescent="0.25">
      <c r="A909">
        <v>33</v>
      </c>
      <c r="B909" t="s">
        <v>500</v>
      </c>
      <c r="C909" t="s">
        <v>15</v>
      </c>
      <c r="D909">
        <v>7</v>
      </c>
      <c r="E909" t="s">
        <v>528</v>
      </c>
      <c r="F909" t="s">
        <v>28</v>
      </c>
      <c r="G909">
        <v>4</v>
      </c>
      <c r="H909">
        <v>410</v>
      </c>
      <c r="I909">
        <v>6.2</v>
      </c>
      <c r="J909" t="s">
        <v>523</v>
      </c>
    </row>
    <row r="910" spans="1:10" x14ac:dyDescent="0.25">
      <c r="A910">
        <v>33</v>
      </c>
      <c r="B910" t="s">
        <v>500</v>
      </c>
      <c r="C910" t="s">
        <v>15</v>
      </c>
      <c r="D910">
        <v>8</v>
      </c>
      <c r="E910" t="s">
        <v>529</v>
      </c>
      <c r="F910" t="s">
        <v>14</v>
      </c>
      <c r="G910">
        <v>66</v>
      </c>
      <c r="H910">
        <v>2423</v>
      </c>
      <c r="I910">
        <v>17.399999999999999</v>
      </c>
      <c r="J910" t="s">
        <v>523</v>
      </c>
    </row>
    <row r="911" spans="1:10" x14ac:dyDescent="0.25">
      <c r="A911">
        <v>33</v>
      </c>
      <c r="B911" t="s">
        <v>500</v>
      </c>
      <c r="C911" t="s">
        <v>15</v>
      </c>
      <c r="D911">
        <v>9</v>
      </c>
      <c r="E911" t="s">
        <v>468</v>
      </c>
      <c r="F911" t="s">
        <v>23</v>
      </c>
      <c r="G911">
        <v>3</v>
      </c>
      <c r="H911">
        <v>526</v>
      </c>
      <c r="I911">
        <v>3.6</v>
      </c>
      <c r="J911" t="s">
        <v>523</v>
      </c>
    </row>
    <row r="912" spans="1:10" x14ac:dyDescent="0.25">
      <c r="A912">
        <v>33</v>
      </c>
      <c r="B912" t="s">
        <v>500</v>
      </c>
      <c r="C912" t="s">
        <v>15</v>
      </c>
      <c r="D912">
        <v>10</v>
      </c>
      <c r="E912" t="s">
        <v>534</v>
      </c>
      <c r="F912" t="s">
        <v>23</v>
      </c>
      <c r="G912">
        <v>12</v>
      </c>
      <c r="H912">
        <v>521</v>
      </c>
      <c r="I912">
        <v>14.7</v>
      </c>
      <c r="J912" t="s">
        <v>523</v>
      </c>
    </row>
    <row r="913" spans="1:10" x14ac:dyDescent="0.25">
      <c r="A913">
        <v>33</v>
      </c>
      <c r="B913" t="s">
        <v>500</v>
      </c>
      <c r="C913" t="s">
        <v>15</v>
      </c>
      <c r="D913">
        <v>11</v>
      </c>
      <c r="E913" t="s">
        <v>469</v>
      </c>
      <c r="F913" t="s">
        <v>25</v>
      </c>
      <c r="G913">
        <v>4</v>
      </c>
      <c r="H913">
        <v>229</v>
      </c>
      <c r="I913">
        <v>11.1</v>
      </c>
      <c r="J913" t="s">
        <v>523</v>
      </c>
    </row>
    <row r="914" spans="1:10" x14ac:dyDescent="0.25">
      <c r="A914">
        <v>32</v>
      </c>
      <c r="B914" t="s">
        <v>499</v>
      </c>
      <c r="C914" t="s">
        <v>21</v>
      </c>
      <c r="D914">
        <v>1</v>
      </c>
      <c r="E914" t="s">
        <v>466</v>
      </c>
      <c r="F914" t="s">
        <v>23</v>
      </c>
      <c r="G914">
        <v>25</v>
      </c>
      <c r="H914">
        <v>1219</v>
      </c>
      <c r="I914">
        <v>13.1</v>
      </c>
      <c r="J914" t="s">
        <v>523</v>
      </c>
    </row>
    <row r="915" spans="1:10" x14ac:dyDescent="0.25">
      <c r="A915">
        <v>32</v>
      </c>
      <c r="B915" t="s">
        <v>499</v>
      </c>
      <c r="C915" t="s">
        <v>21</v>
      </c>
      <c r="D915">
        <v>2</v>
      </c>
      <c r="E915" t="s">
        <v>462</v>
      </c>
      <c r="F915" t="s">
        <v>23</v>
      </c>
      <c r="G915">
        <v>10</v>
      </c>
      <c r="H915">
        <v>648</v>
      </c>
      <c r="I915">
        <v>9.8000000000000007</v>
      </c>
      <c r="J915" t="s">
        <v>523</v>
      </c>
    </row>
    <row r="916" spans="1:10" x14ac:dyDescent="0.25">
      <c r="A916">
        <v>32</v>
      </c>
      <c r="B916" t="s">
        <v>499</v>
      </c>
      <c r="C916" t="s">
        <v>21</v>
      </c>
      <c r="D916">
        <v>3</v>
      </c>
      <c r="E916" t="s">
        <v>493</v>
      </c>
      <c r="F916" t="s">
        <v>25</v>
      </c>
      <c r="G916">
        <v>45</v>
      </c>
      <c r="H916">
        <v>2130</v>
      </c>
      <c r="I916">
        <v>13.5</v>
      </c>
      <c r="J916" t="s">
        <v>523</v>
      </c>
    </row>
    <row r="917" spans="1:10" x14ac:dyDescent="0.25">
      <c r="A917">
        <v>32</v>
      </c>
      <c r="B917" t="s">
        <v>499</v>
      </c>
      <c r="C917" t="s">
        <v>21</v>
      </c>
      <c r="D917">
        <v>6</v>
      </c>
      <c r="E917" t="s">
        <v>527</v>
      </c>
      <c r="F917" t="s">
        <v>17</v>
      </c>
      <c r="G917">
        <v>65</v>
      </c>
      <c r="H917">
        <v>3286</v>
      </c>
      <c r="I917">
        <v>12.6</v>
      </c>
      <c r="J917" t="s">
        <v>523</v>
      </c>
    </row>
    <row r="918" spans="1:10" x14ac:dyDescent="0.25">
      <c r="A918">
        <v>32</v>
      </c>
      <c r="B918" t="s">
        <v>499</v>
      </c>
      <c r="C918" t="s">
        <v>21</v>
      </c>
      <c r="D918">
        <v>7</v>
      </c>
      <c r="E918" t="s">
        <v>528</v>
      </c>
      <c r="F918" t="s">
        <v>28</v>
      </c>
      <c r="G918">
        <v>18</v>
      </c>
      <c r="H918">
        <v>555</v>
      </c>
      <c r="I918">
        <v>20.7</v>
      </c>
      <c r="J918" t="s">
        <v>523</v>
      </c>
    </row>
    <row r="919" spans="1:10" x14ac:dyDescent="0.25">
      <c r="A919">
        <v>32</v>
      </c>
      <c r="B919" t="s">
        <v>499</v>
      </c>
      <c r="C919" t="s">
        <v>21</v>
      </c>
      <c r="D919">
        <v>8</v>
      </c>
      <c r="E919" t="s">
        <v>529</v>
      </c>
      <c r="F919" t="s">
        <v>14</v>
      </c>
      <c r="G919">
        <v>56</v>
      </c>
      <c r="H919">
        <v>1718</v>
      </c>
      <c r="I919">
        <v>20.8</v>
      </c>
      <c r="J919" t="s">
        <v>523</v>
      </c>
    </row>
    <row r="920" spans="1:10" x14ac:dyDescent="0.25">
      <c r="A920">
        <v>32</v>
      </c>
      <c r="B920" t="s">
        <v>499</v>
      </c>
      <c r="C920" t="s">
        <v>21</v>
      </c>
      <c r="D920">
        <v>9</v>
      </c>
      <c r="E920" t="s">
        <v>468</v>
      </c>
      <c r="F920" t="s">
        <v>23</v>
      </c>
      <c r="G920">
        <v>3</v>
      </c>
      <c r="H920">
        <v>1003</v>
      </c>
      <c r="I920">
        <v>1.9</v>
      </c>
      <c r="J920" t="s">
        <v>523</v>
      </c>
    </row>
    <row r="921" spans="1:10" x14ac:dyDescent="0.25">
      <c r="A921">
        <v>32</v>
      </c>
      <c r="B921" t="s">
        <v>499</v>
      </c>
      <c r="C921" t="s">
        <v>21</v>
      </c>
      <c r="D921">
        <v>11</v>
      </c>
      <c r="E921" t="s">
        <v>469</v>
      </c>
      <c r="F921" t="s">
        <v>25</v>
      </c>
      <c r="G921">
        <v>6</v>
      </c>
      <c r="H921">
        <v>435</v>
      </c>
      <c r="I921">
        <v>8.8000000000000007</v>
      </c>
      <c r="J921" t="s">
        <v>523</v>
      </c>
    </row>
    <row r="922" spans="1:10" x14ac:dyDescent="0.25">
      <c r="A922">
        <v>32</v>
      </c>
      <c r="B922" t="s">
        <v>499</v>
      </c>
      <c r="C922" t="s">
        <v>21</v>
      </c>
      <c r="D922">
        <v>12</v>
      </c>
      <c r="E922" t="s">
        <v>475</v>
      </c>
      <c r="F922" t="s">
        <v>28</v>
      </c>
      <c r="G922">
        <v>4</v>
      </c>
      <c r="H922">
        <v>74</v>
      </c>
      <c r="I922">
        <v>34.4</v>
      </c>
      <c r="J922" t="s">
        <v>523</v>
      </c>
    </row>
    <row r="923" spans="1:10" x14ac:dyDescent="0.25">
      <c r="A923">
        <v>32</v>
      </c>
      <c r="B923" t="s">
        <v>499</v>
      </c>
      <c r="C923" t="s">
        <v>21</v>
      </c>
      <c r="D923">
        <v>13</v>
      </c>
      <c r="E923" t="s">
        <v>481</v>
      </c>
      <c r="F923" t="s">
        <v>17</v>
      </c>
      <c r="G923">
        <v>13</v>
      </c>
      <c r="H923">
        <v>389</v>
      </c>
      <c r="I923">
        <v>21.3</v>
      </c>
      <c r="J923" t="s">
        <v>523</v>
      </c>
    </row>
    <row r="924" spans="1:10" x14ac:dyDescent="0.25">
      <c r="A924">
        <v>32</v>
      </c>
      <c r="B924" t="s">
        <v>499</v>
      </c>
      <c r="C924" t="s">
        <v>21</v>
      </c>
      <c r="D924">
        <v>14</v>
      </c>
      <c r="E924" t="s">
        <v>482</v>
      </c>
      <c r="F924" t="s">
        <v>14</v>
      </c>
      <c r="G924">
        <v>27</v>
      </c>
      <c r="H924">
        <v>610</v>
      </c>
      <c r="I924">
        <v>28.2</v>
      </c>
      <c r="J924" t="s">
        <v>523</v>
      </c>
    </row>
    <row r="925" spans="1:10" x14ac:dyDescent="0.25">
      <c r="A925">
        <v>32</v>
      </c>
      <c r="B925" t="s">
        <v>499</v>
      </c>
      <c r="C925" t="s">
        <v>21</v>
      </c>
      <c r="D925">
        <v>15</v>
      </c>
      <c r="E925" t="s">
        <v>471</v>
      </c>
      <c r="F925" t="s">
        <v>23</v>
      </c>
      <c r="G925">
        <v>27</v>
      </c>
      <c r="H925">
        <v>518</v>
      </c>
      <c r="I925">
        <v>33.200000000000003</v>
      </c>
      <c r="J925" t="s">
        <v>523</v>
      </c>
    </row>
    <row r="926" spans="1:10" x14ac:dyDescent="0.25">
      <c r="A926">
        <v>32</v>
      </c>
      <c r="B926" t="s">
        <v>499</v>
      </c>
      <c r="C926" t="s">
        <v>21</v>
      </c>
      <c r="D926">
        <v>17</v>
      </c>
      <c r="E926" t="s">
        <v>531</v>
      </c>
      <c r="F926" t="s">
        <v>25</v>
      </c>
      <c r="G926">
        <v>8</v>
      </c>
      <c r="H926">
        <v>157</v>
      </c>
      <c r="I926">
        <v>32.5</v>
      </c>
      <c r="J926" t="s">
        <v>523</v>
      </c>
    </row>
    <row r="927" spans="1:10" x14ac:dyDescent="0.25">
      <c r="A927">
        <v>50</v>
      </c>
      <c r="B927" t="s">
        <v>518</v>
      </c>
      <c r="C927" t="s">
        <v>21</v>
      </c>
      <c r="D927">
        <v>27</v>
      </c>
      <c r="E927" t="s">
        <v>526</v>
      </c>
      <c r="F927" t="s">
        <v>25</v>
      </c>
      <c r="G927">
        <v>14</v>
      </c>
      <c r="H927">
        <v>438</v>
      </c>
      <c r="I927">
        <v>20.399999999999999</v>
      </c>
      <c r="J927" t="s">
        <v>523</v>
      </c>
    </row>
    <row r="928" spans="1:10" x14ac:dyDescent="0.25">
      <c r="A928">
        <v>50</v>
      </c>
      <c r="B928" t="s">
        <v>518</v>
      </c>
      <c r="C928" t="s">
        <v>21</v>
      </c>
      <c r="D928">
        <v>30</v>
      </c>
      <c r="E928" t="s">
        <v>530</v>
      </c>
      <c r="F928" t="s">
        <v>14</v>
      </c>
      <c r="G928">
        <v>4</v>
      </c>
      <c r="H928">
        <v>421</v>
      </c>
      <c r="I928">
        <v>6.1</v>
      </c>
      <c r="J928" t="s">
        <v>523</v>
      </c>
    </row>
    <row r="929" spans="1:10" x14ac:dyDescent="0.25">
      <c r="A929">
        <v>50</v>
      </c>
      <c r="B929" t="s">
        <v>518</v>
      </c>
      <c r="C929" t="s">
        <v>21</v>
      </c>
      <c r="D929">
        <v>31</v>
      </c>
      <c r="E929" t="s">
        <v>496</v>
      </c>
      <c r="F929" t="s">
        <v>28</v>
      </c>
      <c r="G929">
        <v>18</v>
      </c>
      <c r="H929">
        <v>1265</v>
      </c>
      <c r="I929">
        <v>9.1</v>
      </c>
      <c r="J929" t="s">
        <v>523</v>
      </c>
    </row>
    <row r="930" spans="1:10" x14ac:dyDescent="0.25">
      <c r="A930">
        <v>50</v>
      </c>
      <c r="B930" t="s">
        <v>518</v>
      </c>
      <c r="C930" t="s">
        <v>21</v>
      </c>
      <c r="D930">
        <v>32</v>
      </c>
      <c r="E930" t="s">
        <v>507</v>
      </c>
      <c r="F930" t="s">
        <v>28</v>
      </c>
      <c r="G930">
        <v>9</v>
      </c>
      <c r="H930">
        <v>180</v>
      </c>
      <c r="I930">
        <v>31.9</v>
      </c>
      <c r="J930" t="s">
        <v>523</v>
      </c>
    </row>
    <row r="931" spans="1:10" x14ac:dyDescent="0.25">
      <c r="A931">
        <v>50</v>
      </c>
      <c r="B931" t="s">
        <v>518</v>
      </c>
      <c r="C931" t="s">
        <v>21</v>
      </c>
      <c r="D931">
        <v>33</v>
      </c>
      <c r="E931" t="s">
        <v>490</v>
      </c>
      <c r="F931" t="s">
        <v>23</v>
      </c>
      <c r="G931">
        <v>1</v>
      </c>
      <c r="H931">
        <v>110</v>
      </c>
      <c r="I931">
        <v>5.8</v>
      </c>
      <c r="J931" t="s">
        <v>523</v>
      </c>
    </row>
    <row r="932" spans="1:10" x14ac:dyDescent="0.25">
      <c r="A932">
        <v>50</v>
      </c>
      <c r="B932" t="s">
        <v>518</v>
      </c>
      <c r="C932" t="s">
        <v>21</v>
      </c>
      <c r="D932">
        <v>3</v>
      </c>
      <c r="E932" t="s">
        <v>493</v>
      </c>
      <c r="F932" t="s">
        <v>25</v>
      </c>
      <c r="G932">
        <v>22</v>
      </c>
      <c r="H932">
        <v>1167</v>
      </c>
      <c r="I932">
        <v>12</v>
      </c>
      <c r="J932" t="s">
        <v>523</v>
      </c>
    </row>
    <row r="933" spans="1:10" x14ac:dyDescent="0.25">
      <c r="A933">
        <v>50</v>
      </c>
      <c r="B933" t="s">
        <v>518</v>
      </c>
      <c r="C933" t="s">
        <v>21</v>
      </c>
      <c r="D933">
        <v>5</v>
      </c>
      <c r="E933" t="s">
        <v>464</v>
      </c>
      <c r="F933" t="s">
        <v>14</v>
      </c>
      <c r="G933">
        <v>3</v>
      </c>
      <c r="H933">
        <v>199</v>
      </c>
      <c r="I933">
        <v>9.6</v>
      </c>
      <c r="J933" t="s">
        <v>523</v>
      </c>
    </row>
    <row r="934" spans="1:10" x14ac:dyDescent="0.25">
      <c r="A934">
        <v>50</v>
      </c>
      <c r="B934" t="s">
        <v>518</v>
      </c>
      <c r="C934" t="s">
        <v>21</v>
      </c>
      <c r="D934">
        <v>6</v>
      </c>
      <c r="E934" t="s">
        <v>527</v>
      </c>
      <c r="F934" t="s">
        <v>17</v>
      </c>
      <c r="G934">
        <v>27</v>
      </c>
      <c r="H934">
        <v>946</v>
      </c>
      <c r="I934">
        <v>18.2</v>
      </c>
      <c r="J934" t="s">
        <v>523</v>
      </c>
    </row>
    <row r="935" spans="1:10" x14ac:dyDescent="0.25">
      <c r="A935">
        <v>50</v>
      </c>
      <c r="B935" t="s">
        <v>518</v>
      </c>
      <c r="C935" t="s">
        <v>21</v>
      </c>
      <c r="D935">
        <v>7</v>
      </c>
      <c r="E935" t="s">
        <v>528</v>
      </c>
      <c r="F935" t="s">
        <v>28</v>
      </c>
      <c r="G935">
        <v>13</v>
      </c>
      <c r="H935">
        <v>524</v>
      </c>
      <c r="I935">
        <v>15.8</v>
      </c>
      <c r="J935" t="s">
        <v>523</v>
      </c>
    </row>
    <row r="936" spans="1:10" x14ac:dyDescent="0.25">
      <c r="A936">
        <v>50</v>
      </c>
      <c r="B936" t="s">
        <v>518</v>
      </c>
      <c r="C936" t="s">
        <v>21</v>
      </c>
      <c r="D936">
        <v>8</v>
      </c>
      <c r="E936" t="s">
        <v>529</v>
      </c>
      <c r="F936" t="s">
        <v>14</v>
      </c>
      <c r="G936">
        <v>51</v>
      </c>
      <c r="H936">
        <v>1064</v>
      </c>
      <c r="I936">
        <v>30.5</v>
      </c>
      <c r="J936" t="s">
        <v>523</v>
      </c>
    </row>
    <row r="937" spans="1:10" x14ac:dyDescent="0.25">
      <c r="A937">
        <v>50</v>
      </c>
      <c r="B937" t="s">
        <v>518</v>
      </c>
      <c r="C937" t="s">
        <v>21</v>
      </c>
      <c r="D937">
        <v>9</v>
      </c>
      <c r="E937" t="s">
        <v>468</v>
      </c>
      <c r="F937" t="s">
        <v>23</v>
      </c>
      <c r="G937">
        <v>7</v>
      </c>
      <c r="H937">
        <v>584</v>
      </c>
      <c r="I937">
        <v>7.6</v>
      </c>
      <c r="J937" t="s">
        <v>523</v>
      </c>
    </row>
    <row r="938" spans="1:10" x14ac:dyDescent="0.25">
      <c r="A938">
        <v>50</v>
      </c>
      <c r="B938" t="s">
        <v>518</v>
      </c>
      <c r="C938" t="s">
        <v>21</v>
      </c>
      <c r="D938">
        <v>15</v>
      </c>
      <c r="E938" t="s">
        <v>471</v>
      </c>
      <c r="F938" t="s">
        <v>23</v>
      </c>
      <c r="G938">
        <v>16</v>
      </c>
      <c r="H938">
        <v>532</v>
      </c>
      <c r="I938">
        <v>19.2</v>
      </c>
      <c r="J938" t="s">
        <v>523</v>
      </c>
    </row>
    <row r="939" spans="1:10" x14ac:dyDescent="0.25">
      <c r="A939">
        <v>50</v>
      </c>
      <c r="B939" t="s">
        <v>518</v>
      </c>
      <c r="C939" t="s">
        <v>21</v>
      </c>
      <c r="D939">
        <v>16</v>
      </c>
      <c r="E939" t="s">
        <v>513</v>
      </c>
      <c r="F939" t="s">
        <v>14</v>
      </c>
      <c r="G939">
        <v>5</v>
      </c>
      <c r="H939">
        <v>272</v>
      </c>
      <c r="I939">
        <v>11.7</v>
      </c>
      <c r="J939" t="s">
        <v>523</v>
      </c>
    </row>
    <row r="940" spans="1:10" x14ac:dyDescent="0.25">
      <c r="A940">
        <v>50</v>
      </c>
      <c r="B940" t="s">
        <v>518</v>
      </c>
      <c r="C940" t="s">
        <v>21</v>
      </c>
      <c r="D940">
        <v>17</v>
      </c>
      <c r="E940" t="s">
        <v>531</v>
      </c>
      <c r="F940" t="s">
        <v>25</v>
      </c>
      <c r="G940">
        <v>6</v>
      </c>
      <c r="H940">
        <v>341</v>
      </c>
      <c r="I940">
        <v>11.2</v>
      </c>
      <c r="J940" t="s">
        <v>523</v>
      </c>
    </row>
    <row r="941" spans="1:10" x14ac:dyDescent="0.25">
      <c r="A941">
        <v>50</v>
      </c>
      <c r="B941" t="s">
        <v>518</v>
      </c>
      <c r="C941" t="s">
        <v>21</v>
      </c>
      <c r="D941">
        <v>18</v>
      </c>
      <c r="E941" t="s">
        <v>532</v>
      </c>
      <c r="F941" t="s">
        <v>23</v>
      </c>
      <c r="G941">
        <v>51</v>
      </c>
      <c r="H941">
        <v>2183</v>
      </c>
      <c r="I941">
        <v>14.9</v>
      </c>
      <c r="J941" t="s">
        <v>523</v>
      </c>
    </row>
    <row r="942" spans="1:10" x14ac:dyDescent="0.25">
      <c r="A942">
        <v>50</v>
      </c>
      <c r="B942" t="s">
        <v>518</v>
      </c>
      <c r="C942" t="s">
        <v>21</v>
      </c>
      <c r="D942">
        <v>19</v>
      </c>
      <c r="E942" t="s">
        <v>522</v>
      </c>
      <c r="F942" t="s">
        <v>25</v>
      </c>
      <c r="G942">
        <v>40</v>
      </c>
      <c r="H942">
        <v>1194</v>
      </c>
      <c r="I942">
        <v>21.3</v>
      </c>
      <c r="J942" t="s">
        <v>523</v>
      </c>
    </row>
    <row r="943" spans="1:10" x14ac:dyDescent="0.25">
      <c r="A943">
        <v>50</v>
      </c>
      <c r="B943" t="s">
        <v>518</v>
      </c>
      <c r="C943" t="s">
        <v>21</v>
      </c>
      <c r="D943">
        <v>22</v>
      </c>
      <c r="E943" t="s">
        <v>536</v>
      </c>
      <c r="F943" t="s">
        <v>14</v>
      </c>
      <c r="G943">
        <v>1</v>
      </c>
      <c r="H943">
        <v>145</v>
      </c>
      <c r="I943">
        <v>4.4000000000000004</v>
      </c>
      <c r="J943" t="s">
        <v>523</v>
      </c>
    </row>
    <row r="944" spans="1:10" x14ac:dyDescent="0.25">
      <c r="A944">
        <v>50</v>
      </c>
      <c r="B944" t="s">
        <v>518</v>
      </c>
      <c r="C944" t="s">
        <v>21</v>
      </c>
      <c r="D944">
        <v>24</v>
      </c>
      <c r="E944" t="s">
        <v>524</v>
      </c>
      <c r="F944" t="s">
        <v>28</v>
      </c>
      <c r="G944">
        <v>10</v>
      </c>
      <c r="H944">
        <v>652</v>
      </c>
      <c r="I944">
        <v>9.8000000000000007</v>
      </c>
      <c r="J944" t="s">
        <v>523</v>
      </c>
    </row>
    <row r="945" spans="1:10" x14ac:dyDescent="0.25">
      <c r="A945">
        <v>50</v>
      </c>
      <c r="B945" t="s">
        <v>518</v>
      </c>
      <c r="C945" t="s">
        <v>21</v>
      </c>
      <c r="D945">
        <v>25</v>
      </c>
      <c r="E945" t="s">
        <v>525</v>
      </c>
      <c r="F945" t="s">
        <v>25</v>
      </c>
      <c r="G945">
        <v>34</v>
      </c>
      <c r="H945">
        <v>1744</v>
      </c>
      <c r="I945">
        <v>12.4</v>
      </c>
      <c r="J945" t="s">
        <v>523</v>
      </c>
    </row>
    <row r="946" spans="1:10" x14ac:dyDescent="0.25">
      <c r="A946">
        <v>49</v>
      </c>
      <c r="B946" t="s">
        <v>517</v>
      </c>
      <c r="C946" t="s">
        <v>19</v>
      </c>
      <c r="D946">
        <v>11</v>
      </c>
      <c r="E946" t="s">
        <v>469</v>
      </c>
      <c r="F946" t="s">
        <v>25</v>
      </c>
      <c r="G946">
        <v>18</v>
      </c>
      <c r="H946">
        <v>367</v>
      </c>
      <c r="I946">
        <v>31.2</v>
      </c>
      <c r="J946" t="s">
        <v>523</v>
      </c>
    </row>
    <row r="947" spans="1:10" x14ac:dyDescent="0.25">
      <c r="A947">
        <v>49</v>
      </c>
      <c r="B947" t="s">
        <v>517</v>
      </c>
      <c r="C947" t="s">
        <v>19</v>
      </c>
      <c r="D947">
        <v>13</v>
      </c>
      <c r="E947" t="s">
        <v>481</v>
      </c>
      <c r="F947" t="s">
        <v>17</v>
      </c>
      <c r="G947">
        <v>18</v>
      </c>
      <c r="H947">
        <v>368</v>
      </c>
      <c r="I947">
        <v>31.2</v>
      </c>
      <c r="J947" t="s">
        <v>523</v>
      </c>
    </row>
    <row r="948" spans="1:10" x14ac:dyDescent="0.25">
      <c r="A948">
        <v>49</v>
      </c>
      <c r="B948" t="s">
        <v>517</v>
      </c>
      <c r="C948" t="s">
        <v>19</v>
      </c>
      <c r="D948">
        <v>24</v>
      </c>
      <c r="E948" t="s">
        <v>524</v>
      </c>
      <c r="F948" t="s">
        <v>28</v>
      </c>
      <c r="G948">
        <v>23</v>
      </c>
      <c r="H948">
        <v>452</v>
      </c>
      <c r="I948">
        <v>32.4</v>
      </c>
      <c r="J948" t="s">
        <v>523</v>
      </c>
    </row>
    <row r="949" spans="1:10" x14ac:dyDescent="0.25">
      <c r="A949">
        <v>49</v>
      </c>
      <c r="B949" t="s">
        <v>517</v>
      </c>
      <c r="C949" t="s">
        <v>19</v>
      </c>
      <c r="D949">
        <v>25</v>
      </c>
      <c r="E949" t="s">
        <v>525</v>
      </c>
      <c r="F949" t="s">
        <v>25</v>
      </c>
      <c r="G949">
        <v>23</v>
      </c>
      <c r="H949">
        <v>2820</v>
      </c>
      <c r="I949">
        <v>5.2</v>
      </c>
      <c r="J949" t="s">
        <v>523</v>
      </c>
    </row>
    <row r="950" spans="1:10" x14ac:dyDescent="0.25">
      <c r="A950">
        <v>49</v>
      </c>
      <c r="B950" t="s">
        <v>517</v>
      </c>
      <c r="C950" t="s">
        <v>19</v>
      </c>
      <c r="D950">
        <v>30</v>
      </c>
      <c r="E950" t="s">
        <v>530</v>
      </c>
      <c r="F950" t="s">
        <v>14</v>
      </c>
      <c r="G950">
        <v>3</v>
      </c>
      <c r="H950">
        <v>808</v>
      </c>
      <c r="I950">
        <v>2.4</v>
      </c>
      <c r="J950" t="s">
        <v>523</v>
      </c>
    </row>
    <row r="951" spans="1:10" x14ac:dyDescent="0.25">
      <c r="A951">
        <v>49</v>
      </c>
      <c r="B951" t="s">
        <v>517</v>
      </c>
      <c r="C951" t="s">
        <v>19</v>
      </c>
      <c r="D951">
        <v>31</v>
      </c>
      <c r="E951" t="s">
        <v>496</v>
      </c>
      <c r="F951" t="s">
        <v>28</v>
      </c>
      <c r="G951">
        <v>51</v>
      </c>
      <c r="H951">
        <v>1606</v>
      </c>
      <c r="I951">
        <v>20.2</v>
      </c>
      <c r="J951" t="s">
        <v>523</v>
      </c>
    </row>
    <row r="952" spans="1:10" x14ac:dyDescent="0.25">
      <c r="A952">
        <v>49</v>
      </c>
      <c r="B952" t="s">
        <v>517</v>
      </c>
      <c r="C952" t="s">
        <v>19</v>
      </c>
      <c r="D952">
        <v>34</v>
      </c>
      <c r="E952" t="s">
        <v>467</v>
      </c>
      <c r="F952" t="s">
        <v>17</v>
      </c>
      <c r="G952">
        <v>2</v>
      </c>
      <c r="H952">
        <v>88</v>
      </c>
      <c r="I952">
        <v>14.5</v>
      </c>
      <c r="J952" t="s">
        <v>523</v>
      </c>
    </row>
    <row r="953" spans="1:10" x14ac:dyDescent="0.25">
      <c r="A953">
        <v>50</v>
      </c>
      <c r="B953" t="s">
        <v>518</v>
      </c>
      <c r="C953" t="s">
        <v>21</v>
      </c>
      <c r="D953">
        <v>1</v>
      </c>
      <c r="E953" t="s">
        <v>466</v>
      </c>
      <c r="F953" t="s">
        <v>23</v>
      </c>
      <c r="G953">
        <v>18</v>
      </c>
      <c r="H953">
        <v>822</v>
      </c>
      <c r="I953">
        <v>13.9</v>
      </c>
      <c r="J953" t="s">
        <v>523</v>
      </c>
    </row>
    <row r="954" spans="1:10" x14ac:dyDescent="0.25">
      <c r="A954">
        <v>49</v>
      </c>
      <c r="B954" t="s">
        <v>517</v>
      </c>
      <c r="C954" t="s">
        <v>19</v>
      </c>
      <c r="D954">
        <v>16</v>
      </c>
      <c r="E954" t="s">
        <v>513</v>
      </c>
      <c r="F954" t="s">
        <v>14</v>
      </c>
      <c r="G954">
        <v>1</v>
      </c>
      <c r="H954">
        <v>228</v>
      </c>
      <c r="I954">
        <v>2.8</v>
      </c>
      <c r="J954" t="s">
        <v>523</v>
      </c>
    </row>
    <row r="955" spans="1:10" x14ac:dyDescent="0.25">
      <c r="A955">
        <v>49</v>
      </c>
      <c r="B955" t="s">
        <v>517</v>
      </c>
      <c r="C955" t="s">
        <v>19</v>
      </c>
      <c r="D955">
        <v>17</v>
      </c>
      <c r="E955" t="s">
        <v>531</v>
      </c>
      <c r="F955" t="s">
        <v>25</v>
      </c>
      <c r="G955">
        <v>9</v>
      </c>
      <c r="H955">
        <v>358</v>
      </c>
      <c r="I955">
        <v>16</v>
      </c>
      <c r="J955" t="s">
        <v>523</v>
      </c>
    </row>
    <row r="956" spans="1:10" x14ac:dyDescent="0.25">
      <c r="A956">
        <v>49</v>
      </c>
      <c r="B956" t="s">
        <v>517</v>
      </c>
      <c r="C956" t="s">
        <v>19</v>
      </c>
      <c r="D956">
        <v>18</v>
      </c>
      <c r="E956" t="s">
        <v>532</v>
      </c>
      <c r="F956" t="s">
        <v>23</v>
      </c>
      <c r="G956">
        <v>36</v>
      </c>
      <c r="H956">
        <v>877</v>
      </c>
      <c r="I956">
        <v>26.1</v>
      </c>
      <c r="J956" t="s">
        <v>523</v>
      </c>
    </row>
    <row r="957" spans="1:10" x14ac:dyDescent="0.25">
      <c r="A957">
        <v>49</v>
      </c>
      <c r="B957" t="s">
        <v>517</v>
      </c>
      <c r="C957" t="s">
        <v>19</v>
      </c>
      <c r="D957">
        <v>19</v>
      </c>
      <c r="E957" t="s">
        <v>522</v>
      </c>
      <c r="F957" t="s">
        <v>25</v>
      </c>
      <c r="G957">
        <v>48</v>
      </c>
      <c r="H957">
        <v>1957</v>
      </c>
      <c r="I957">
        <v>15.6</v>
      </c>
      <c r="J957" t="s">
        <v>523</v>
      </c>
    </row>
    <row r="958" spans="1:10" x14ac:dyDescent="0.25">
      <c r="A958">
        <v>49</v>
      </c>
      <c r="B958" t="s">
        <v>517</v>
      </c>
      <c r="C958" t="s">
        <v>19</v>
      </c>
      <c r="D958">
        <v>3</v>
      </c>
      <c r="E958" t="s">
        <v>493</v>
      </c>
      <c r="F958" t="s">
        <v>25</v>
      </c>
      <c r="G958">
        <v>14</v>
      </c>
      <c r="H958">
        <v>1657</v>
      </c>
      <c r="I958">
        <v>5.4</v>
      </c>
      <c r="J958" t="s">
        <v>523</v>
      </c>
    </row>
    <row r="959" spans="1:10" x14ac:dyDescent="0.25">
      <c r="A959">
        <v>49</v>
      </c>
      <c r="B959" t="s">
        <v>517</v>
      </c>
      <c r="C959" t="s">
        <v>19</v>
      </c>
      <c r="D959">
        <v>6</v>
      </c>
      <c r="E959" t="s">
        <v>527</v>
      </c>
      <c r="F959" t="s">
        <v>17</v>
      </c>
      <c r="G959">
        <v>23</v>
      </c>
      <c r="H959">
        <v>819</v>
      </c>
      <c r="I959">
        <v>17.899999999999999</v>
      </c>
      <c r="J959" t="s">
        <v>523</v>
      </c>
    </row>
    <row r="960" spans="1:10" x14ac:dyDescent="0.25">
      <c r="A960">
        <v>49</v>
      </c>
      <c r="B960" t="s">
        <v>517</v>
      </c>
      <c r="C960" t="s">
        <v>19</v>
      </c>
      <c r="D960">
        <v>7</v>
      </c>
      <c r="E960" t="s">
        <v>528</v>
      </c>
      <c r="F960" t="s">
        <v>28</v>
      </c>
      <c r="G960">
        <v>24</v>
      </c>
      <c r="H960">
        <v>591</v>
      </c>
      <c r="I960">
        <v>25.9</v>
      </c>
      <c r="J960" t="s">
        <v>523</v>
      </c>
    </row>
    <row r="961" spans="1:10" x14ac:dyDescent="0.25">
      <c r="A961">
        <v>49</v>
      </c>
      <c r="B961" t="s">
        <v>517</v>
      </c>
      <c r="C961" t="s">
        <v>19</v>
      </c>
      <c r="D961">
        <v>9</v>
      </c>
      <c r="E961" t="s">
        <v>468</v>
      </c>
      <c r="F961" t="s">
        <v>23</v>
      </c>
      <c r="G961">
        <v>25</v>
      </c>
      <c r="H961">
        <v>1035</v>
      </c>
      <c r="I961">
        <v>15.4</v>
      </c>
      <c r="J961" t="s">
        <v>523</v>
      </c>
    </row>
    <row r="962" spans="1:10" x14ac:dyDescent="0.25">
      <c r="A962">
        <v>48</v>
      </c>
      <c r="B962" t="s">
        <v>516</v>
      </c>
      <c r="C962" t="s">
        <v>26</v>
      </c>
      <c r="D962">
        <v>35</v>
      </c>
      <c r="E962" t="s">
        <v>539</v>
      </c>
      <c r="F962" t="s">
        <v>14</v>
      </c>
      <c r="G962">
        <v>3</v>
      </c>
      <c r="H962">
        <v>122</v>
      </c>
      <c r="I962">
        <v>15.7</v>
      </c>
      <c r="J962" t="s">
        <v>523</v>
      </c>
    </row>
    <row r="963" spans="1:10" x14ac:dyDescent="0.25">
      <c r="A963">
        <v>49</v>
      </c>
      <c r="B963" t="s">
        <v>517</v>
      </c>
      <c r="C963" t="s">
        <v>19</v>
      </c>
      <c r="D963">
        <v>1</v>
      </c>
      <c r="E963" t="s">
        <v>466</v>
      </c>
      <c r="F963" t="s">
        <v>23</v>
      </c>
      <c r="G963">
        <v>30</v>
      </c>
      <c r="H963">
        <v>887</v>
      </c>
      <c r="I963">
        <v>21.5</v>
      </c>
      <c r="J963" t="s">
        <v>523</v>
      </c>
    </row>
    <row r="964" spans="1:10" x14ac:dyDescent="0.25">
      <c r="A964">
        <v>48</v>
      </c>
      <c r="B964" t="s">
        <v>516</v>
      </c>
      <c r="C964" t="s">
        <v>26</v>
      </c>
      <c r="D964">
        <v>31</v>
      </c>
      <c r="E964" t="s">
        <v>496</v>
      </c>
      <c r="F964" t="s">
        <v>28</v>
      </c>
      <c r="G964">
        <v>41</v>
      </c>
      <c r="H964">
        <v>2263</v>
      </c>
      <c r="I964">
        <v>11.5</v>
      </c>
      <c r="J964" t="s">
        <v>523</v>
      </c>
    </row>
    <row r="965" spans="1:10" x14ac:dyDescent="0.25">
      <c r="A965">
        <v>48</v>
      </c>
      <c r="B965" t="s">
        <v>516</v>
      </c>
      <c r="C965" t="s">
        <v>26</v>
      </c>
      <c r="D965">
        <v>32</v>
      </c>
      <c r="E965" t="s">
        <v>507</v>
      </c>
      <c r="F965" t="s">
        <v>28</v>
      </c>
      <c r="G965">
        <v>7</v>
      </c>
      <c r="H965">
        <v>164</v>
      </c>
      <c r="I965">
        <v>27.2</v>
      </c>
      <c r="J965" t="s">
        <v>523</v>
      </c>
    </row>
    <row r="966" spans="1:10" x14ac:dyDescent="0.25">
      <c r="A966">
        <v>48</v>
      </c>
      <c r="B966" t="s">
        <v>516</v>
      </c>
      <c r="C966" t="s">
        <v>26</v>
      </c>
      <c r="D966">
        <v>12</v>
      </c>
      <c r="E966" t="s">
        <v>475</v>
      </c>
      <c r="F966" t="s">
        <v>28</v>
      </c>
      <c r="G966">
        <v>1</v>
      </c>
      <c r="H966">
        <v>142</v>
      </c>
      <c r="I966">
        <v>4.5</v>
      </c>
      <c r="J966" t="s">
        <v>523</v>
      </c>
    </row>
    <row r="967" spans="1:10" x14ac:dyDescent="0.25">
      <c r="A967">
        <v>48</v>
      </c>
      <c r="B967" t="s">
        <v>516</v>
      </c>
      <c r="C967" t="s">
        <v>26</v>
      </c>
      <c r="D967">
        <v>22</v>
      </c>
      <c r="E967" t="s">
        <v>536</v>
      </c>
      <c r="F967" t="s">
        <v>14</v>
      </c>
      <c r="G967">
        <v>2</v>
      </c>
      <c r="H967">
        <v>179</v>
      </c>
      <c r="I967">
        <v>7.1</v>
      </c>
      <c r="J967" t="s">
        <v>523</v>
      </c>
    </row>
    <row r="968" spans="1:10" x14ac:dyDescent="0.25">
      <c r="A968">
        <v>48</v>
      </c>
      <c r="B968" t="s">
        <v>516</v>
      </c>
      <c r="C968" t="s">
        <v>26</v>
      </c>
      <c r="D968">
        <v>23</v>
      </c>
      <c r="E968" t="s">
        <v>506</v>
      </c>
      <c r="F968" t="s">
        <v>23</v>
      </c>
      <c r="G968">
        <v>1</v>
      </c>
      <c r="H968">
        <v>137</v>
      </c>
      <c r="I968">
        <v>4.5999999999999996</v>
      </c>
      <c r="J968" t="s">
        <v>523</v>
      </c>
    </row>
    <row r="969" spans="1:10" x14ac:dyDescent="0.25">
      <c r="A969">
        <v>48</v>
      </c>
      <c r="B969" t="s">
        <v>516</v>
      </c>
      <c r="C969" t="s">
        <v>26</v>
      </c>
      <c r="D969">
        <v>25</v>
      </c>
      <c r="E969" t="s">
        <v>525</v>
      </c>
      <c r="F969" t="s">
        <v>25</v>
      </c>
      <c r="G969">
        <v>23</v>
      </c>
      <c r="H969">
        <v>2595</v>
      </c>
      <c r="I969">
        <v>5.6</v>
      </c>
      <c r="J969" t="s">
        <v>523</v>
      </c>
    </row>
    <row r="970" spans="1:10" x14ac:dyDescent="0.25">
      <c r="A970">
        <v>48</v>
      </c>
      <c r="B970" t="s">
        <v>516</v>
      </c>
      <c r="C970" t="s">
        <v>26</v>
      </c>
      <c r="D970">
        <v>26</v>
      </c>
      <c r="E970" t="s">
        <v>519</v>
      </c>
      <c r="F970" t="s">
        <v>25</v>
      </c>
      <c r="G970">
        <v>2</v>
      </c>
      <c r="H970">
        <v>167</v>
      </c>
      <c r="I970">
        <v>7.6</v>
      </c>
      <c r="J970" t="s">
        <v>523</v>
      </c>
    </row>
    <row r="971" spans="1:10" x14ac:dyDescent="0.25">
      <c r="A971">
        <v>48</v>
      </c>
      <c r="B971" t="s">
        <v>516</v>
      </c>
      <c r="C971" t="s">
        <v>26</v>
      </c>
      <c r="D971">
        <v>28</v>
      </c>
      <c r="E971" t="s">
        <v>477</v>
      </c>
      <c r="F971" t="s">
        <v>25</v>
      </c>
      <c r="G971">
        <v>1</v>
      </c>
      <c r="H971">
        <v>211</v>
      </c>
      <c r="I971">
        <v>3</v>
      </c>
      <c r="J971" t="s">
        <v>523</v>
      </c>
    </row>
    <row r="972" spans="1:10" x14ac:dyDescent="0.25">
      <c r="A972">
        <v>47</v>
      </c>
      <c r="B972" t="s">
        <v>546</v>
      </c>
      <c r="C972" t="s">
        <v>26</v>
      </c>
      <c r="D972">
        <v>14</v>
      </c>
      <c r="E972" t="s">
        <v>482</v>
      </c>
      <c r="F972" t="s">
        <v>14</v>
      </c>
      <c r="G972">
        <v>11</v>
      </c>
      <c r="H972">
        <v>414</v>
      </c>
      <c r="I972">
        <v>16.899999999999999</v>
      </c>
      <c r="J972" t="s">
        <v>523</v>
      </c>
    </row>
    <row r="973" spans="1:10" x14ac:dyDescent="0.25">
      <c r="A973">
        <v>47</v>
      </c>
      <c r="B973" t="s">
        <v>546</v>
      </c>
      <c r="C973" t="s">
        <v>26</v>
      </c>
      <c r="D973">
        <v>15</v>
      </c>
      <c r="E973" t="s">
        <v>471</v>
      </c>
      <c r="F973" t="s">
        <v>23</v>
      </c>
      <c r="G973">
        <v>3</v>
      </c>
      <c r="H973">
        <v>602</v>
      </c>
      <c r="I973">
        <v>3.2</v>
      </c>
      <c r="J973" t="s">
        <v>523</v>
      </c>
    </row>
    <row r="974" spans="1:10" x14ac:dyDescent="0.25">
      <c r="A974">
        <v>47</v>
      </c>
      <c r="B974" t="s">
        <v>546</v>
      </c>
      <c r="C974" t="s">
        <v>26</v>
      </c>
      <c r="D974">
        <v>17</v>
      </c>
      <c r="E974" t="s">
        <v>531</v>
      </c>
      <c r="F974" t="s">
        <v>25</v>
      </c>
      <c r="G974">
        <v>8</v>
      </c>
      <c r="H974">
        <v>1076</v>
      </c>
      <c r="I974">
        <v>4.7</v>
      </c>
      <c r="J974" t="s">
        <v>523</v>
      </c>
    </row>
    <row r="975" spans="1:10" x14ac:dyDescent="0.25">
      <c r="A975">
        <v>47</v>
      </c>
      <c r="B975" t="s">
        <v>546</v>
      </c>
      <c r="C975" t="s">
        <v>26</v>
      </c>
      <c r="D975">
        <v>18</v>
      </c>
      <c r="E975" t="s">
        <v>532</v>
      </c>
      <c r="F975" t="s">
        <v>23</v>
      </c>
      <c r="G975">
        <v>12</v>
      </c>
      <c r="H975">
        <v>1656</v>
      </c>
      <c r="I975">
        <v>4.5999999999999996</v>
      </c>
      <c r="J975" t="s">
        <v>523</v>
      </c>
    </row>
    <row r="976" spans="1:10" x14ac:dyDescent="0.25">
      <c r="A976">
        <v>47</v>
      </c>
      <c r="B976" t="s">
        <v>546</v>
      </c>
      <c r="C976" t="s">
        <v>26</v>
      </c>
      <c r="D976">
        <v>19</v>
      </c>
      <c r="E976" t="s">
        <v>522</v>
      </c>
      <c r="F976" t="s">
        <v>25</v>
      </c>
      <c r="G976">
        <v>68</v>
      </c>
      <c r="H976">
        <v>1297</v>
      </c>
      <c r="I976">
        <v>33.4</v>
      </c>
      <c r="J976" t="s">
        <v>523</v>
      </c>
    </row>
    <row r="977" spans="1:10" x14ac:dyDescent="0.25">
      <c r="A977">
        <v>47</v>
      </c>
      <c r="B977" t="s">
        <v>546</v>
      </c>
      <c r="C977" t="s">
        <v>26</v>
      </c>
      <c r="D977">
        <v>24</v>
      </c>
      <c r="E977" t="s">
        <v>524</v>
      </c>
      <c r="F977" t="s">
        <v>28</v>
      </c>
      <c r="G977">
        <v>24</v>
      </c>
      <c r="H977">
        <v>650</v>
      </c>
      <c r="I977">
        <v>23.5</v>
      </c>
      <c r="J977" t="s">
        <v>523</v>
      </c>
    </row>
    <row r="978" spans="1:10" x14ac:dyDescent="0.25">
      <c r="A978">
        <v>47</v>
      </c>
      <c r="B978" t="s">
        <v>546</v>
      </c>
      <c r="C978" t="s">
        <v>26</v>
      </c>
      <c r="D978">
        <v>25</v>
      </c>
      <c r="E978" t="s">
        <v>525</v>
      </c>
      <c r="F978" t="s">
        <v>25</v>
      </c>
      <c r="G978">
        <v>14</v>
      </c>
      <c r="H978">
        <v>1028</v>
      </c>
      <c r="I978">
        <v>8.6999999999999993</v>
      </c>
      <c r="J978" t="s">
        <v>523</v>
      </c>
    </row>
    <row r="979" spans="1:10" x14ac:dyDescent="0.25">
      <c r="A979">
        <v>47</v>
      </c>
      <c r="B979" t="s">
        <v>546</v>
      </c>
      <c r="C979" t="s">
        <v>26</v>
      </c>
      <c r="D979">
        <v>6</v>
      </c>
      <c r="E979" t="s">
        <v>527</v>
      </c>
      <c r="F979" t="s">
        <v>17</v>
      </c>
      <c r="G979">
        <v>11</v>
      </c>
      <c r="H979">
        <v>1485</v>
      </c>
      <c r="I979">
        <v>4.7</v>
      </c>
      <c r="J979" t="s">
        <v>523</v>
      </c>
    </row>
    <row r="980" spans="1:10" x14ac:dyDescent="0.25">
      <c r="A980">
        <v>47</v>
      </c>
      <c r="B980" t="s">
        <v>546</v>
      </c>
      <c r="C980" t="s">
        <v>26</v>
      </c>
      <c r="D980">
        <v>7</v>
      </c>
      <c r="E980" t="s">
        <v>528</v>
      </c>
      <c r="F980" t="s">
        <v>28</v>
      </c>
      <c r="G980">
        <v>4</v>
      </c>
      <c r="H980">
        <v>559</v>
      </c>
      <c r="I980">
        <v>4.5999999999999996</v>
      </c>
      <c r="J980" t="s">
        <v>523</v>
      </c>
    </row>
    <row r="981" spans="1:10" x14ac:dyDescent="0.25">
      <c r="A981">
        <v>47</v>
      </c>
      <c r="B981" t="s">
        <v>546</v>
      </c>
      <c r="C981" t="s">
        <v>26</v>
      </c>
      <c r="D981">
        <v>28</v>
      </c>
      <c r="E981" t="s">
        <v>477</v>
      </c>
      <c r="F981" t="s">
        <v>25</v>
      </c>
      <c r="G981">
        <v>4</v>
      </c>
      <c r="H981">
        <v>208</v>
      </c>
      <c r="I981">
        <v>12.3</v>
      </c>
      <c r="J981" t="s">
        <v>523</v>
      </c>
    </row>
    <row r="982" spans="1:10" x14ac:dyDescent="0.25">
      <c r="A982">
        <v>47</v>
      </c>
      <c r="B982" t="s">
        <v>546</v>
      </c>
      <c r="C982" t="s">
        <v>26</v>
      </c>
      <c r="D982">
        <v>34</v>
      </c>
      <c r="E982" t="s">
        <v>467</v>
      </c>
      <c r="F982" t="s">
        <v>17</v>
      </c>
      <c r="G982">
        <v>3</v>
      </c>
      <c r="H982">
        <v>410</v>
      </c>
      <c r="I982">
        <v>4.7</v>
      </c>
      <c r="J982" t="s">
        <v>523</v>
      </c>
    </row>
    <row r="983" spans="1:10" x14ac:dyDescent="0.25">
      <c r="A983">
        <v>48</v>
      </c>
      <c r="B983" t="s">
        <v>516</v>
      </c>
      <c r="C983" t="s">
        <v>26</v>
      </c>
      <c r="D983">
        <v>1</v>
      </c>
      <c r="E983" t="s">
        <v>466</v>
      </c>
      <c r="F983" t="s">
        <v>23</v>
      </c>
      <c r="G983">
        <v>3</v>
      </c>
      <c r="H983">
        <v>563</v>
      </c>
      <c r="I983">
        <v>3.4</v>
      </c>
      <c r="J983" t="s">
        <v>523</v>
      </c>
    </row>
    <row r="984" spans="1:10" x14ac:dyDescent="0.25">
      <c r="A984">
        <v>48</v>
      </c>
      <c r="B984" t="s">
        <v>516</v>
      </c>
      <c r="C984" t="s">
        <v>26</v>
      </c>
      <c r="D984">
        <v>2</v>
      </c>
      <c r="E984" t="s">
        <v>462</v>
      </c>
      <c r="F984" t="s">
        <v>23</v>
      </c>
      <c r="G984">
        <v>23</v>
      </c>
      <c r="H984">
        <v>454</v>
      </c>
      <c r="I984">
        <v>32.299999999999997</v>
      </c>
      <c r="J984" t="s">
        <v>523</v>
      </c>
    </row>
    <row r="985" spans="1:10" x14ac:dyDescent="0.25">
      <c r="A985">
        <v>48</v>
      </c>
      <c r="B985" t="s">
        <v>516</v>
      </c>
      <c r="C985" t="s">
        <v>26</v>
      </c>
      <c r="D985">
        <v>5</v>
      </c>
      <c r="E985" t="s">
        <v>464</v>
      </c>
      <c r="F985" t="s">
        <v>14</v>
      </c>
      <c r="G985">
        <v>9</v>
      </c>
      <c r="H985">
        <v>240</v>
      </c>
      <c r="I985">
        <v>23.9</v>
      </c>
      <c r="J985" t="s">
        <v>523</v>
      </c>
    </row>
    <row r="986" spans="1:10" x14ac:dyDescent="0.25">
      <c r="A986">
        <v>48</v>
      </c>
      <c r="B986" t="s">
        <v>516</v>
      </c>
      <c r="C986" t="s">
        <v>26</v>
      </c>
      <c r="D986">
        <v>6</v>
      </c>
      <c r="E986" t="s">
        <v>527</v>
      </c>
      <c r="F986" t="s">
        <v>17</v>
      </c>
      <c r="G986">
        <v>6</v>
      </c>
      <c r="H986">
        <v>2080</v>
      </c>
      <c r="I986">
        <v>1.8</v>
      </c>
      <c r="J986" t="s">
        <v>523</v>
      </c>
    </row>
    <row r="987" spans="1:10" x14ac:dyDescent="0.25">
      <c r="A987">
        <v>48</v>
      </c>
      <c r="B987" t="s">
        <v>516</v>
      </c>
      <c r="C987" t="s">
        <v>26</v>
      </c>
      <c r="D987">
        <v>7</v>
      </c>
      <c r="E987" t="s">
        <v>528</v>
      </c>
      <c r="F987" t="s">
        <v>28</v>
      </c>
      <c r="G987">
        <v>28</v>
      </c>
      <c r="H987">
        <v>695</v>
      </c>
      <c r="I987">
        <v>25.7</v>
      </c>
      <c r="J987" t="s">
        <v>523</v>
      </c>
    </row>
    <row r="988" spans="1:10" x14ac:dyDescent="0.25">
      <c r="A988">
        <v>47</v>
      </c>
      <c r="B988" t="s">
        <v>546</v>
      </c>
      <c r="C988" t="s">
        <v>26</v>
      </c>
      <c r="D988">
        <v>31</v>
      </c>
      <c r="E988" t="s">
        <v>496</v>
      </c>
      <c r="F988" t="s">
        <v>28</v>
      </c>
      <c r="G988">
        <v>48</v>
      </c>
      <c r="H988">
        <v>4812</v>
      </c>
      <c r="I988">
        <v>6.4</v>
      </c>
      <c r="J988" t="s">
        <v>523</v>
      </c>
    </row>
    <row r="989" spans="1:10" x14ac:dyDescent="0.25">
      <c r="A989">
        <v>47</v>
      </c>
      <c r="B989" t="s">
        <v>546</v>
      </c>
      <c r="C989" t="s">
        <v>26</v>
      </c>
      <c r="D989">
        <v>32</v>
      </c>
      <c r="E989" t="s">
        <v>507</v>
      </c>
      <c r="F989" t="s">
        <v>28</v>
      </c>
      <c r="G989">
        <v>6</v>
      </c>
      <c r="H989">
        <v>272</v>
      </c>
      <c r="I989">
        <v>14.1</v>
      </c>
      <c r="J989" t="s">
        <v>523</v>
      </c>
    </row>
    <row r="990" spans="1:10" x14ac:dyDescent="0.25">
      <c r="A990">
        <v>48</v>
      </c>
      <c r="B990" t="s">
        <v>516</v>
      </c>
      <c r="C990" t="s">
        <v>26</v>
      </c>
      <c r="D990">
        <v>9</v>
      </c>
      <c r="E990" t="s">
        <v>468</v>
      </c>
      <c r="F990" t="s">
        <v>23</v>
      </c>
      <c r="G990">
        <v>13</v>
      </c>
      <c r="H990">
        <v>352</v>
      </c>
      <c r="I990">
        <v>23.5</v>
      </c>
      <c r="J990" t="s">
        <v>523</v>
      </c>
    </row>
    <row r="991" spans="1:10" x14ac:dyDescent="0.25">
      <c r="A991">
        <v>48</v>
      </c>
      <c r="B991" t="s">
        <v>516</v>
      </c>
      <c r="C991" t="s">
        <v>26</v>
      </c>
      <c r="D991">
        <v>14</v>
      </c>
      <c r="E991" t="s">
        <v>482</v>
      </c>
      <c r="F991" t="s">
        <v>14</v>
      </c>
      <c r="G991">
        <v>11</v>
      </c>
      <c r="H991">
        <v>891</v>
      </c>
      <c r="I991">
        <v>7.9</v>
      </c>
      <c r="J991" t="s">
        <v>523</v>
      </c>
    </row>
    <row r="992" spans="1:10" x14ac:dyDescent="0.25">
      <c r="A992">
        <v>48</v>
      </c>
      <c r="B992" t="s">
        <v>516</v>
      </c>
      <c r="C992" t="s">
        <v>26</v>
      </c>
      <c r="D992">
        <v>15</v>
      </c>
      <c r="E992" t="s">
        <v>471</v>
      </c>
      <c r="F992" t="s">
        <v>23</v>
      </c>
      <c r="G992">
        <v>3</v>
      </c>
      <c r="H992">
        <v>310</v>
      </c>
      <c r="I992">
        <v>6.2</v>
      </c>
      <c r="J992" t="s">
        <v>523</v>
      </c>
    </row>
    <row r="993" spans="1:10" x14ac:dyDescent="0.25">
      <c r="A993">
        <v>48</v>
      </c>
      <c r="B993" t="s">
        <v>516</v>
      </c>
      <c r="C993" t="s">
        <v>26</v>
      </c>
      <c r="D993">
        <v>16</v>
      </c>
      <c r="E993" t="s">
        <v>513</v>
      </c>
      <c r="F993" t="s">
        <v>14</v>
      </c>
      <c r="G993">
        <v>5</v>
      </c>
      <c r="H993">
        <v>401</v>
      </c>
      <c r="I993">
        <v>7.9</v>
      </c>
      <c r="J993" t="s">
        <v>523</v>
      </c>
    </row>
    <row r="994" spans="1:10" x14ac:dyDescent="0.25">
      <c r="A994">
        <v>48</v>
      </c>
      <c r="B994" t="s">
        <v>516</v>
      </c>
      <c r="C994" t="s">
        <v>26</v>
      </c>
      <c r="D994">
        <v>17</v>
      </c>
      <c r="E994" t="s">
        <v>531</v>
      </c>
      <c r="F994" t="s">
        <v>25</v>
      </c>
      <c r="G994">
        <v>9</v>
      </c>
      <c r="H994">
        <v>343</v>
      </c>
      <c r="I994">
        <v>16.7</v>
      </c>
      <c r="J994" t="s">
        <v>523</v>
      </c>
    </row>
    <row r="995" spans="1:10" x14ac:dyDescent="0.25">
      <c r="A995">
        <v>48</v>
      </c>
      <c r="B995" t="s">
        <v>516</v>
      </c>
      <c r="C995" t="s">
        <v>26</v>
      </c>
      <c r="D995">
        <v>18</v>
      </c>
      <c r="E995" t="s">
        <v>532</v>
      </c>
      <c r="F995" t="s">
        <v>23</v>
      </c>
      <c r="G995">
        <v>10</v>
      </c>
      <c r="H995">
        <v>1023</v>
      </c>
      <c r="I995">
        <v>6.2</v>
      </c>
      <c r="J995" t="s">
        <v>523</v>
      </c>
    </row>
    <row r="996" spans="1:10" x14ac:dyDescent="0.25">
      <c r="A996">
        <v>46</v>
      </c>
      <c r="B996" t="s">
        <v>547</v>
      </c>
      <c r="C996" t="s">
        <v>19</v>
      </c>
      <c r="D996">
        <v>9</v>
      </c>
      <c r="E996" t="s">
        <v>468</v>
      </c>
      <c r="F996" t="s">
        <v>23</v>
      </c>
      <c r="G996">
        <v>22</v>
      </c>
      <c r="H996">
        <v>595</v>
      </c>
      <c r="I996">
        <v>23.6</v>
      </c>
      <c r="J996" t="s">
        <v>523</v>
      </c>
    </row>
    <row r="997" spans="1:10" x14ac:dyDescent="0.25">
      <c r="A997">
        <v>45</v>
      </c>
      <c r="B997" t="s">
        <v>515</v>
      </c>
      <c r="C997" t="s">
        <v>26</v>
      </c>
      <c r="D997">
        <v>34</v>
      </c>
      <c r="E997" t="s">
        <v>467</v>
      </c>
      <c r="F997" t="s">
        <v>17</v>
      </c>
      <c r="G997">
        <v>3</v>
      </c>
      <c r="H997">
        <v>384</v>
      </c>
      <c r="I997">
        <v>5</v>
      </c>
      <c r="J997" t="s">
        <v>523</v>
      </c>
    </row>
    <row r="998" spans="1:10" x14ac:dyDescent="0.25">
      <c r="A998">
        <v>46</v>
      </c>
      <c r="B998" t="s">
        <v>547</v>
      </c>
      <c r="C998" t="s">
        <v>19</v>
      </c>
      <c r="D998">
        <v>1</v>
      </c>
      <c r="E998" t="s">
        <v>466</v>
      </c>
      <c r="F998" t="s">
        <v>23</v>
      </c>
      <c r="G998">
        <v>11</v>
      </c>
      <c r="H998">
        <v>2192</v>
      </c>
      <c r="I998">
        <v>3.2</v>
      </c>
      <c r="J998" t="s">
        <v>523</v>
      </c>
    </row>
    <row r="999" spans="1:10" x14ac:dyDescent="0.25">
      <c r="A999">
        <v>46</v>
      </c>
      <c r="B999" t="s">
        <v>547</v>
      </c>
      <c r="C999" t="s">
        <v>19</v>
      </c>
      <c r="D999">
        <v>2</v>
      </c>
      <c r="E999" t="s">
        <v>462</v>
      </c>
      <c r="F999" t="s">
        <v>23</v>
      </c>
      <c r="G999">
        <v>3</v>
      </c>
      <c r="H999">
        <v>1336</v>
      </c>
      <c r="I999">
        <v>1.4</v>
      </c>
      <c r="J999" t="s">
        <v>523</v>
      </c>
    </row>
    <row r="1000" spans="1:10" x14ac:dyDescent="0.25">
      <c r="A1000">
        <v>46</v>
      </c>
      <c r="B1000" t="s">
        <v>547</v>
      </c>
      <c r="C1000" t="s">
        <v>19</v>
      </c>
      <c r="D1000">
        <v>3</v>
      </c>
      <c r="E1000" t="s">
        <v>493</v>
      </c>
      <c r="F1000" t="s">
        <v>25</v>
      </c>
      <c r="G1000">
        <v>24</v>
      </c>
      <c r="H1000">
        <v>1541</v>
      </c>
      <c r="I1000">
        <v>9.9</v>
      </c>
      <c r="J1000" t="s">
        <v>523</v>
      </c>
    </row>
    <row r="1001" spans="1:10" x14ac:dyDescent="0.25">
      <c r="A1001">
        <v>46</v>
      </c>
      <c r="B1001" t="s">
        <v>547</v>
      </c>
      <c r="C1001" t="s">
        <v>19</v>
      </c>
      <c r="D1001">
        <v>6</v>
      </c>
      <c r="E1001" t="s">
        <v>527</v>
      </c>
      <c r="F1001" t="s">
        <v>17</v>
      </c>
      <c r="G1001">
        <v>65</v>
      </c>
      <c r="H1001">
        <v>3655</v>
      </c>
      <c r="I1001">
        <v>11.3</v>
      </c>
      <c r="J1001" t="s">
        <v>523</v>
      </c>
    </row>
    <row r="1002" spans="1:10" x14ac:dyDescent="0.25">
      <c r="A1002">
        <v>46</v>
      </c>
      <c r="B1002" t="s">
        <v>547</v>
      </c>
      <c r="C1002" t="s">
        <v>19</v>
      </c>
      <c r="D1002">
        <v>7</v>
      </c>
      <c r="E1002" t="s">
        <v>528</v>
      </c>
      <c r="F1002" t="s">
        <v>28</v>
      </c>
      <c r="G1002">
        <v>15</v>
      </c>
      <c r="H1002">
        <v>592</v>
      </c>
      <c r="I1002">
        <v>16.100000000000001</v>
      </c>
      <c r="J1002" t="s">
        <v>523</v>
      </c>
    </row>
    <row r="1003" spans="1:10" x14ac:dyDescent="0.25">
      <c r="A1003">
        <v>46</v>
      </c>
      <c r="B1003" t="s">
        <v>547</v>
      </c>
      <c r="C1003" t="s">
        <v>19</v>
      </c>
      <c r="D1003">
        <v>11</v>
      </c>
      <c r="E1003" t="s">
        <v>469</v>
      </c>
      <c r="F1003" t="s">
        <v>25</v>
      </c>
      <c r="G1003">
        <v>12</v>
      </c>
      <c r="H1003">
        <v>438</v>
      </c>
      <c r="I1003">
        <v>17.5</v>
      </c>
      <c r="J1003" t="s">
        <v>523</v>
      </c>
    </row>
    <row r="1004" spans="1:10" x14ac:dyDescent="0.25">
      <c r="A1004">
        <v>46</v>
      </c>
      <c r="B1004" t="s">
        <v>547</v>
      </c>
      <c r="C1004" t="s">
        <v>19</v>
      </c>
      <c r="D1004">
        <v>12</v>
      </c>
      <c r="E1004" t="s">
        <v>475</v>
      </c>
      <c r="F1004" t="s">
        <v>28</v>
      </c>
      <c r="G1004">
        <v>13</v>
      </c>
      <c r="H1004">
        <v>255</v>
      </c>
      <c r="I1004">
        <v>32.5</v>
      </c>
      <c r="J1004" t="s">
        <v>523</v>
      </c>
    </row>
    <row r="1005" spans="1:10" x14ac:dyDescent="0.25">
      <c r="A1005">
        <v>46</v>
      </c>
      <c r="B1005" t="s">
        <v>547</v>
      </c>
      <c r="C1005" t="s">
        <v>19</v>
      </c>
      <c r="D1005">
        <v>13</v>
      </c>
      <c r="E1005" t="s">
        <v>481</v>
      </c>
      <c r="F1005" t="s">
        <v>17</v>
      </c>
      <c r="G1005">
        <v>6</v>
      </c>
      <c r="H1005">
        <v>787</v>
      </c>
      <c r="I1005">
        <v>4.9000000000000004</v>
      </c>
      <c r="J1005" t="s">
        <v>523</v>
      </c>
    </row>
    <row r="1006" spans="1:10" x14ac:dyDescent="0.25">
      <c r="A1006">
        <v>46</v>
      </c>
      <c r="B1006" t="s">
        <v>547</v>
      </c>
      <c r="C1006" t="s">
        <v>19</v>
      </c>
      <c r="D1006">
        <v>14</v>
      </c>
      <c r="E1006" t="s">
        <v>482</v>
      </c>
      <c r="F1006" t="s">
        <v>14</v>
      </c>
      <c r="G1006">
        <v>29</v>
      </c>
      <c r="H1006">
        <v>867</v>
      </c>
      <c r="I1006">
        <v>21.3</v>
      </c>
      <c r="J1006" t="s">
        <v>523</v>
      </c>
    </row>
    <row r="1007" spans="1:10" x14ac:dyDescent="0.25">
      <c r="A1007">
        <v>46</v>
      </c>
      <c r="B1007" t="s">
        <v>547</v>
      </c>
      <c r="C1007" t="s">
        <v>19</v>
      </c>
      <c r="D1007">
        <v>15</v>
      </c>
      <c r="E1007" t="s">
        <v>471</v>
      </c>
      <c r="F1007" t="s">
        <v>23</v>
      </c>
      <c r="G1007">
        <v>6</v>
      </c>
      <c r="H1007">
        <v>571</v>
      </c>
      <c r="I1007">
        <v>6.7</v>
      </c>
      <c r="J1007" t="s">
        <v>523</v>
      </c>
    </row>
    <row r="1008" spans="1:10" x14ac:dyDescent="0.25">
      <c r="A1008">
        <v>46</v>
      </c>
      <c r="B1008" t="s">
        <v>547</v>
      </c>
      <c r="C1008" t="s">
        <v>19</v>
      </c>
      <c r="D1008">
        <v>18</v>
      </c>
      <c r="E1008" t="s">
        <v>532</v>
      </c>
      <c r="F1008" t="s">
        <v>23</v>
      </c>
      <c r="G1008">
        <v>21</v>
      </c>
      <c r="H1008">
        <v>1501</v>
      </c>
      <c r="I1008">
        <v>8.9</v>
      </c>
      <c r="J1008" t="s">
        <v>523</v>
      </c>
    </row>
    <row r="1009" spans="1:10" x14ac:dyDescent="0.25">
      <c r="A1009">
        <v>46</v>
      </c>
      <c r="B1009" t="s">
        <v>547</v>
      </c>
      <c r="C1009" t="s">
        <v>19</v>
      </c>
      <c r="D1009">
        <v>21</v>
      </c>
      <c r="E1009" t="s">
        <v>476</v>
      </c>
      <c r="F1009" t="s">
        <v>28</v>
      </c>
      <c r="G1009">
        <v>2</v>
      </c>
      <c r="H1009">
        <v>134</v>
      </c>
      <c r="I1009">
        <v>9.5</v>
      </c>
      <c r="J1009" t="s">
        <v>523</v>
      </c>
    </row>
    <row r="1010" spans="1:10" x14ac:dyDescent="0.25">
      <c r="A1010">
        <v>46</v>
      </c>
      <c r="B1010" t="s">
        <v>547</v>
      </c>
      <c r="C1010" t="s">
        <v>19</v>
      </c>
      <c r="D1010">
        <v>24</v>
      </c>
      <c r="E1010" t="s">
        <v>524</v>
      </c>
      <c r="F1010" t="s">
        <v>28</v>
      </c>
      <c r="G1010">
        <v>10</v>
      </c>
      <c r="H1010">
        <v>580</v>
      </c>
      <c r="I1010">
        <v>11</v>
      </c>
      <c r="J1010" t="s">
        <v>523</v>
      </c>
    </row>
    <row r="1011" spans="1:10" x14ac:dyDescent="0.25">
      <c r="A1011">
        <v>46</v>
      </c>
      <c r="B1011" t="s">
        <v>547</v>
      </c>
      <c r="C1011" t="s">
        <v>19</v>
      </c>
      <c r="D1011">
        <v>25</v>
      </c>
      <c r="E1011" t="s">
        <v>525</v>
      </c>
      <c r="F1011" t="s">
        <v>25</v>
      </c>
      <c r="G1011">
        <v>37</v>
      </c>
      <c r="H1011">
        <v>2000</v>
      </c>
      <c r="I1011">
        <v>11.8</v>
      </c>
      <c r="J1011" t="s">
        <v>523</v>
      </c>
    </row>
    <row r="1012" spans="1:10" x14ac:dyDescent="0.25">
      <c r="A1012">
        <v>45</v>
      </c>
      <c r="B1012" t="s">
        <v>515</v>
      </c>
      <c r="C1012" t="s">
        <v>26</v>
      </c>
      <c r="D1012">
        <v>27</v>
      </c>
      <c r="E1012" t="s">
        <v>526</v>
      </c>
      <c r="F1012" t="s">
        <v>25</v>
      </c>
      <c r="G1012">
        <v>14</v>
      </c>
      <c r="H1012">
        <v>452</v>
      </c>
      <c r="I1012">
        <v>19.7</v>
      </c>
      <c r="J1012" t="s">
        <v>523</v>
      </c>
    </row>
    <row r="1013" spans="1:10" x14ac:dyDescent="0.25">
      <c r="A1013">
        <v>46</v>
      </c>
      <c r="B1013" t="s">
        <v>547</v>
      </c>
      <c r="C1013" t="s">
        <v>19</v>
      </c>
      <c r="D1013">
        <v>28</v>
      </c>
      <c r="E1013" t="s">
        <v>477</v>
      </c>
      <c r="F1013" t="s">
        <v>25</v>
      </c>
      <c r="G1013">
        <v>1</v>
      </c>
      <c r="H1013">
        <v>72</v>
      </c>
      <c r="I1013">
        <v>8.8000000000000007</v>
      </c>
      <c r="J1013" t="s">
        <v>523</v>
      </c>
    </row>
    <row r="1014" spans="1:10" x14ac:dyDescent="0.25">
      <c r="A1014">
        <v>46</v>
      </c>
      <c r="B1014" t="s">
        <v>547</v>
      </c>
      <c r="C1014" t="s">
        <v>19</v>
      </c>
      <c r="D1014">
        <v>29</v>
      </c>
      <c r="E1014" t="s">
        <v>472</v>
      </c>
      <c r="F1014" t="s">
        <v>23</v>
      </c>
      <c r="G1014">
        <v>3</v>
      </c>
      <c r="H1014">
        <v>138</v>
      </c>
      <c r="I1014">
        <v>13.8</v>
      </c>
      <c r="J1014" t="s">
        <v>523</v>
      </c>
    </row>
    <row r="1015" spans="1:10" x14ac:dyDescent="0.25">
      <c r="A1015">
        <v>46</v>
      </c>
      <c r="B1015" t="s">
        <v>547</v>
      </c>
      <c r="C1015" t="s">
        <v>19</v>
      </c>
      <c r="D1015">
        <v>30</v>
      </c>
      <c r="E1015" t="s">
        <v>530</v>
      </c>
      <c r="F1015" t="s">
        <v>14</v>
      </c>
      <c r="G1015">
        <v>9</v>
      </c>
      <c r="H1015">
        <v>1325</v>
      </c>
      <c r="I1015">
        <v>4.3</v>
      </c>
      <c r="J1015" t="s">
        <v>523</v>
      </c>
    </row>
    <row r="1016" spans="1:10" x14ac:dyDescent="0.25">
      <c r="A1016">
        <v>46</v>
      </c>
      <c r="B1016" t="s">
        <v>547</v>
      </c>
      <c r="C1016" t="s">
        <v>19</v>
      </c>
      <c r="D1016">
        <v>31</v>
      </c>
      <c r="E1016" t="s">
        <v>496</v>
      </c>
      <c r="F1016" t="s">
        <v>28</v>
      </c>
      <c r="G1016">
        <v>13</v>
      </c>
      <c r="H1016">
        <v>1124</v>
      </c>
      <c r="I1016">
        <v>7.4</v>
      </c>
      <c r="J1016" t="s">
        <v>523</v>
      </c>
    </row>
    <row r="1017" spans="1:10" x14ac:dyDescent="0.25">
      <c r="A1017">
        <v>46</v>
      </c>
      <c r="B1017" t="s">
        <v>547</v>
      </c>
      <c r="C1017" t="s">
        <v>19</v>
      </c>
      <c r="D1017">
        <v>33</v>
      </c>
      <c r="E1017" t="s">
        <v>490</v>
      </c>
      <c r="F1017" t="s">
        <v>23</v>
      </c>
      <c r="G1017">
        <v>11</v>
      </c>
      <c r="H1017">
        <v>285</v>
      </c>
      <c r="I1017">
        <v>24.6</v>
      </c>
      <c r="J1017" t="s">
        <v>523</v>
      </c>
    </row>
    <row r="1018" spans="1:10" x14ac:dyDescent="0.25">
      <c r="A1018">
        <v>47</v>
      </c>
      <c r="B1018" t="s">
        <v>546</v>
      </c>
      <c r="C1018" t="s">
        <v>26</v>
      </c>
      <c r="D1018">
        <v>1</v>
      </c>
      <c r="E1018" t="s">
        <v>466</v>
      </c>
      <c r="F1018" t="s">
        <v>23</v>
      </c>
      <c r="G1018">
        <v>11</v>
      </c>
      <c r="H1018">
        <v>1287</v>
      </c>
      <c r="I1018">
        <v>5.4</v>
      </c>
      <c r="J1018" t="s">
        <v>523</v>
      </c>
    </row>
    <row r="1019" spans="1:10" x14ac:dyDescent="0.25">
      <c r="A1019">
        <v>47</v>
      </c>
      <c r="B1019" t="s">
        <v>546</v>
      </c>
      <c r="C1019" t="s">
        <v>26</v>
      </c>
      <c r="D1019">
        <v>2</v>
      </c>
      <c r="E1019" t="s">
        <v>462</v>
      </c>
      <c r="F1019" t="s">
        <v>23</v>
      </c>
      <c r="G1019">
        <v>15</v>
      </c>
      <c r="H1019">
        <v>1095</v>
      </c>
      <c r="I1019">
        <v>8.6999999999999993</v>
      </c>
      <c r="J1019" t="s">
        <v>523</v>
      </c>
    </row>
    <row r="1020" spans="1:10" x14ac:dyDescent="0.25">
      <c r="A1020">
        <v>47</v>
      </c>
      <c r="B1020" t="s">
        <v>546</v>
      </c>
      <c r="C1020" t="s">
        <v>26</v>
      </c>
      <c r="D1020">
        <v>9</v>
      </c>
      <c r="E1020" t="s">
        <v>468</v>
      </c>
      <c r="F1020" t="s">
        <v>23</v>
      </c>
      <c r="G1020">
        <v>6</v>
      </c>
      <c r="H1020">
        <v>664</v>
      </c>
      <c r="I1020">
        <v>5.8</v>
      </c>
      <c r="J1020" t="s">
        <v>523</v>
      </c>
    </row>
    <row r="1021" spans="1:10" x14ac:dyDescent="0.25">
      <c r="A1021">
        <v>47</v>
      </c>
      <c r="B1021" t="s">
        <v>546</v>
      </c>
      <c r="C1021" t="s">
        <v>26</v>
      </c>
      <c r="D1021">
        <v>10</v>
      </c>
      <c r="E1021" t="s">
        <v>534</v>
      </c>
      <c r="F1021" t="s">
        <v>23</v>
      </c>
      <c r="G1021">
        <v>20</v>
      </c>
      <c r="H1021">
        <v>409</v>
      </c>
      <c r="I1021">
        <v>31.1</v>
      </c>
      <c r="J1021" t="s">
        <v>523</v>
      </c>
    </row>
    <row r="1022" spans="1:10" x14ac:dyDescent="0.25">
      <c r="A1022">
        <v>47</v>
      </c>
      <c r="B1022" t="s">
        <v>546</v>
      </c>
      <c r="C1022" t="s">
        <v>26</v>
      </c>
      <c r="D1022">
        <v>11</v>
      </c>
      <c r="E1022" t="s">
        <v>469</v>
      </c>
      <c r="F1022" t="s">
        <v>25</v>
      </c>
      <c r="G1022">
        <v>10</v>
      </c>
      <c r="H1022">
        <v>320</v>
      </c>
      <c r="I1022">
        <v>19.899999999999999</v>
      </c>
      <c r="J1022" t="s">
        <v>523</v>
      </c>
    </row>
    <row r="1023" spans="1:10" x14ac:dyDescent="0.25">
      <c r="A1023">
        <v>47</v>
      </c>
      <c r="B1023" t="s">
        <v>546</v>
      </c>
      <c r="C1023" t="s">
        <v>26</v>
      </c>
      <c r="D1023">
        <v>12</v>
      </c>
      <c r="E1023" t="s">
        <v>475</v>
      </c>
      <c r="F1023" t="s">
        <v>28</v>
      </c>
      <c r="G1023">
        <v>5</v>
      </c>
      <c r="H1023">
        <v>247</v>
      </c>
      <c r="I1023">
        <v>12.9</v>
      </c>
      <c r="J1023" t="s">
        <v>523</v>
      </c>
    </row>
    <row r="1024" spans="1:10" x14ac:dyDescent="0.25">
      <c r="A1024">
        <v>45</v>
      </c>
      <c r="B1024" t="s">
        <v>515</v>
      </c>
      <c r="C1024" t="s">
        <v>26</v>
      </c>
      <c r="D1024">
        <v>29</v>
      </c>
      <c r="E1024" t="s">
        <v>472</v>
      </c>
      <c r="F1024" t="s">
        <v>23</v>
      </c>
      <c r="G1024">
        <v>4</v>
      </c>
      <c r="H1024">
        <v>267</v>
      </c>
      <c r="I1024">
        <v>9.5</v>
      </c>
      <c r="J1024" t="s">
        <v>523</v>
      </c>
    </row>
    <row r="1025" spans="1:10" x14ac:dyDescent="0.25">
      <c r="A1025">
        <v>45</v>
      </c>
      <c r="B1025" t="s">
        <v>515</v>
      </c>
      <c r="C1025" t="s">
        <v>26</v>
      </c>
      <c r="D1025">
        <v>30</v>
      </c>
      <c r="E1025" t="s">
        <v>530</v>
      </c>
      <c r="F1025" t="s">
        <v>14</v>
      </c>
      <c r="G1025">
        <v>36</v>
      </c>
      <c r="H1025">
        <v>1511</v>
      </c>
      <c r="I1025">
        <v>15.2</v>
      </c>
      <c r="J1025" t="s">
        <v>523</v>
      </c>
    </row>
    <row r="1026" spans="1:10" x14ac:dyDescent="0.25">
      <c r="A1026">
        <v>45</v>
      </c>
      <c r="B1026" t="s">
        <v>515</v>
      </c>
      <c r="C1026" t="s">
        <v>26</v>
      </c>
      <c r="D1026">
        <v>31</v>
      </c>
      <c r="E1026" t="s">
        <v>496</v>
      </c>
      <c r="F1026" t="s">
        <v>28</v>
      </c>
      <c r="G1026">
        <v>6</v>
      </c>
      <c r="H1026">
        <v>786</v>
      </c>
      <c r="I1026">
        <v>4.9000000000000004</v>
      </c>
      <c r="J1026" t="s">
        <v>523</v>
      </c>
    </row>
    <row r="1027" spans="1:10" x14ac:dyDescent="0.25">
      <c r="A1027">
        <v>45</v>
      </c>
      <c r="B1027" t="s">
        <v>515</v>
      </c>
      <c r="C1027" t="s">
        <v>26</v>
      </c>
      <c r="D1027">
        <v>32</v>
      </c>
      <c r="E1027" t="s">
        <v>507</v>
      </c>
      <c r="F1027" t="s">
        <v>28</v>
      </c>
      <c r="G1027">
        <v>6</v>
      </c>
      <c r="H1027">
        <v>310</v>
      </c>
      <c r="I1027">
        <v>12.3</v>
      </c>
      <c r="J1027" t="s">
        <v>523</v>
      </c>
    </row>
    <row r="1028" spans="1:10" x14ac:dyDescent="0.25">
      <c r="A1028">
        <v>45</v>
      </c>
      <c r="B1028" t="s">
        <v>515</v>
      </c>
      <c r="C1028" t="s">
        <v>26</v>
      </c>
      <c r="D1028">
        <v>21</v>
      </c>
      <c r="E1028" t="s">
        <v>476</v>
      </c>
      <c r="F1028" t="s">
        <v>28</v>
      </c>
      <c r="G1028">
        <v>14</v>
      </c>
      <c r="H1028">
        <v>300</v>
      </c>
      <c r="I1028">
        <v>29.7</v>
      </c>
      <c r="J1028" t="s">
        <v>523</v>
      </c>
    </row>
    <row r="1029" spans="1:10" x14ac:dyDescent="0.25">
      <c r="A1029">
        <v>45</v>
      </c>
      <c r="B1029" t="s">
        <v>515</v>
      </c>
      <c r="C1029" t="s">
        <v>26</v>
      </c>
      <c r="D1029">
        <v>23</v>
      </c>
      <c r="E1029" t="s">
        <v>506</v>
      </c>
      <c r="F1029" t="s">
        <v>23</v>
      </c>
      <c r="G1029">
        <v>16</v>
      </c>
      <c r="H1029">
        <v>325</v>
      </c>
      <c r="I1029">
        <v>31.4</v>
      </c>
      <c r="J1029" t="s">
        <v>523</v>
      </c>
    </row>
    <row r="1030" spans="1:10" x14ac:dyDescent="0.25">
      <c r="A1030">
        <v>45</v>
      </c>
      <c r="B1030" t="s">
        <v>515</v>
      </c>
      <c r="C1030" t="s">
        <v>26</v>
      </c>
      <c r="D1030">
        <v>24</v>
      </c>
      <c r="E1030" t="s">
        <v>524</v>
      </c>
      <c r="F1030" t="s">
        <v>28</v>
      </c>
      <c r="G1030">
        <v>26</v>
      </c>
      <c r="H1030">
        <v>648</v>
      </c>
      <c r="I1030">
        <v>25.6</v>
      </c>
      <c r="J1030" t="s">
        <v>523</v>
      </c>
    </row>
    <row r="1031" spans="1:10" x14ac:dyDescent="0.25">
      <c r="A1031">
        <v>45</v>
      </c>
      <c r="B1031" t="s">
        <v>515</v>
      </c>
      <c r="C1031" t="s">
        <v>26</v>
      </c>
      <c r="D1031">
        <v>25</v>
      </c>
      <c r="E1031" t="s">
        <v>525</v>
      </c>
      <c r="F1031" t="s">
        <v>25</v>
      </c>
      <c r="G1031">
        <v>57</v>
      </c>
      <c r="H1031">
        <v>1773</v>
      </c>
      <c r="I1031">
        <v>20.5</v>
      </c>
      <c r="J1031" t="s">
        <v>523</v>
      </c>
    </row>
    <row r="1032" spans="1:10" x14ac:dyDescent="0.25">
      <c r="A1032">
        <v>45</v>
      </c>
      <c r="B1032" t="s">
        <v>515</v>
      </c>
      <c r="C1032" t="s">
        <v>26</v>
      </c>
      <c r="D1032">
        <v>10</v>
      </c>
      <c r="E1032" t="s">
        <v>534</v>
      </c>
      <c r="F1032" t="s">
        <v>23</v>
      </c>
      <c r="G1032">
        <v>42</v>
      </c>
      <c r="H1032">
        <v>910</v>
      </c>
      <c r="I1032">
        <v>29.4</v>
      </c>
      <c r="J1032" t="s">
        <v>523</v>
      </c>
    </row>
    <row r="1033" spans="1:10" x14ac:dyDescent="0.25">
      <c r="A1033">
        <v>45</v>
      </c>
      <c r="B1033" t="s">
        <v>515</v>
      </c>
      <c r="C1033" t="s">
        <v>26</v>
      </c>
      <c r="D1033">
        <v>14</v>
      </c>
      <c r="E1033" t="s">
        <v>482</v>
      </c>
      <c r="F1033" t="s">
        <v>14</v>
      </c>
      <c r="G1033">
        <v>18</v>
      </c>
      <c r="H1033">
        <v>479</v>
      </c>
      <c r="I1033">
        <v>23.9</v>
      </c>
      <c r="J1033" t="s">
        <v>523</v>
      </c>
    </row>
    <row r="1034" spans="1:10" x14ac:dyDescent="0.25">
      <c r="A1034">
        <v>45</v>
      </c>
      <c r="B1034" t="s">
        <v>515</v>
      </c>
      <c r="C1034" t="s">
        <v>26</v>
      </c>
      <c r="D1034">
        <v>15</v>
      </c>
      <c r="E1034" t="s">
        <v>471</v>
      </c>
      <c r="F1034" t="s">
        <v>23</v>
      </c>
      <c r="G1034">
        <v>19</v>
      </c>
      <c r="H1034">
        <v>685</v>
      </c>
      <c r="I1034">
        <v>17.7</v>
      </c>
      <c r="J1034" t="s">
        <v>523</v>
      </c>
    </row>
    <row r="1035" spans="1:10" x14ac:dyDescent="0.25">
      <c r="A1035">
        <v>45</v>
      </c>
      <c r="B1035" t="s">
        <v>515</v>
      </c>
      <c r="C1035" t="s">
        <v>26</v>
      </c>
      <c r="D1035">
        <v>17</v>
      </c>
      <c r="E1035" t="s">
        <v>531</v>
      </c>
      <c r="F1035" t="s">
        <v>25</v>
      </c>
      <c r="G1035">
        <v>4</v>
      </c>
      <c r="H1035">
        <v>580</v>
      </c>
      <c r="I1035">
        <v>4.4000000000000004</v>
      </c>
      <c r="J1035" t="s">
        <v>523</v>
      </c>
    </row>
    <row r="1036" spans="1:10" x14ac:dyDescent="0.25">
      <c r="A1036">
        <v>45</v>
      </c>
      <c r="B1036" t="s">
        <v>515</v>
      </c>
      <c r="C1036" t="s">
        <v>26</v>
      </c>
      <c r="D1036">
        <v>18</v>
      </c>
      <c r="E1036" t="s">
        <v>532</v>
      </c>
      <c r="F1036" t="s">
        <v>23</v>
      </c>
      <c r="G1036">
        <v>14</v>
      </c>
      <c r="H1036">
        <v>1242</v>
      </c>
      <c r="I1036">
        <v>7.2</v>
      </c>
      <c r="J1036" t="s">
        <v>523</v>
      </c>
    </row>
    <row r="1037" spans="1:10" x14ac:dyDescent="0.25">
      <c r="A1037">
        <v>44</v>
      </c>
      <c r="B1037" t="s">
        <v>514</v>
      </c>
      <c r="C1037" t="s">
        <v>21</v>
      </c>
      <c r="D1037">
        <v>14</v>
      </c>
      <c r="E1037" t="s">
        <v>482</v>
      </c>
      <c r="F1037" t="s">
        <v>14</v>
      </c>
      <c r="G1037">
        <v>7</v>
      </c>
      <c r="H1037">
        <v>544</v>
      </c>
      <c r="I1037">
        <v>8.1999999999999993</v>
      </c>
      <c r="J1037" t="s">
        <v>523</v>
      </c>
    </row>
    <row r="1038" spans="1:10" x14ac:dyDescent="0.25">
      <c r="A1038">
        <v>44</v>
      </c>
      <c r="B1038" t="s">
        <v>514</v>
      </c>
      <c r="C1038" t="s">
        <v>21</v>
      </c>
      <c r="D1038">
        <v>15</v>
      </c>
      <c r="E1038" t="s">
        <v>471</v>
      </c>
      <c r="F1038" t="s">
        <v>23</v>
      </c>
      <c r="G1038">
        <v>4</v>
      </c>
      <c r="H1038">
        <v>381</v>
      </c>
      <c r="I1038">
        <v>6.7</v>
      </c>
      <c r="J1038" t="s">
        <v>523</v>
      </c>
    </row>
    <row r="1039" spans="1:10" x14ac:dyDescent="0.25">
      <c r="A1039">
        <v>44</v>
      </c>
      <c r="B1039" t="s">
        <v>514</v>
      </c>
      <c r="C1039" t="s">
        <v>21</v>
      </c>
      <c r="D1039">
        <v>16</v>
      </c>
      <c r="E1039" t="s">
        <v>513</v>
      </c>
      <c r="F1039" t="s">
        <v>14</v>
      </c>
      <c r="G1039">
        <v>3</v>
      </c>
      <c r="H1039">
        <v>68</v>
      </c>
      <c r="I1039">
        <v>28.1</v>
      </c>
      <c r="J1039" t="s">
        <v>523</v>
      </c>
    </row>
    <row r="1040" spans="1:10" x14ac:dyDescent="0.25">
      <c r="A1040">
        <v>44</v>
      </c>
      <c r="B1040" t="s">
        <v>514</v>
      </c>
      <c r="C1040" t="s">
        <v>21</v>
      </c>
      <c r="D1040">
        <v>17</v>
      </c>
      <c r="E1040" t="s">
        <v>531</v>
      </c>
      <c r="F1040" t="s">
        <v>25</v>
      </c>
      <c r="G1040">
        <v>10</v>
      </c>
      <c r="H1040">
        <v>719</v>
      </c>
      <c r="I1040">
        <v>8.9</v>
      </c>
      <c r="J1040" t="s">
        <v>523</v>
      </c>
    </row>
    <row r="1041" spans="1:10" x14ac:dyDescent="0.25">
      <c r="A1041">
        <v>44</v>
      </c>
      <c r="B1041" t="s">
        <v>514</v>
      </c>
      <c r="C1041" t="s">
        <v>21</v>
      </c>
      <c r="D1041">
        <v>6</v>
      </c>
      <c r="E1041" t="s">
        <v>527</v>
      </c>
      <c r="F1041" t="s">
        <v>17</v>
      </c>
      <c r="G1041">
        <v>2</v>
      </c>
      <c r="H1041">
        <v>3048</v>
      </c>
      <c r="I1041">
        <v>0.4</v>
      </c>
      <c r="J1041" t="s">
        <v>523</v>
      </c>
    </row>
    <row r="1042" spans="1:10" x14ac:dyDescent="0.25">
      <c r="A1042">
        <v>44</v>
      </c>
      <c r="B1042" t="s">
        <v>514</v>
      </c>
      <c r="C1042" t="s">
        <v>21</v>
      </c>
      <c r="D1042">
        <v>7</v>
      </c>
      <c r="E1042" t="s">
        <v>528</v>
      </c>
      <c r="F1042" t="s">
        <v>28</v>
      </c>
      <c r="G1042">
        <v>17</v>
      </c>
      <c r="H1042">
        <v>737</v>
      </c>
      <c r="I1042">
        <v>14.7</v>
      </c>
      <c r="J1042" t="s">
        <v>523</v>
      </c>
    </row>
    <row r="1043" spans="1:10" x14ac:dyDescent="0.25">
      <c r="A1043">
        <v>44</v>
      </c>
      <c r="B1043" t="s">
        <v>514</v>
      </c>
      <c r="C1043" t="s">
        <v>21</v>
      </c>
      <c r="D1043">
        <v>8</v>
      </c>
      <c r="E1043" t="s">
        <v>529</v>
      </c>
      <c r="F1043" t="s">
        <v>14</v>
      </c>
      <c r="G1043">
        <v>33</v>
      </c>
      <c r="H1043">
        <v>1477</v>
      </c>
      <c r="I1043">
        <v>14.2</v>
      </c>
      <c r="J1043" t="s">
        <v>523</v>
      </c>
    </row>
    <row r="1044" spans="1:10" x14ac:dyDescent="0.25">
      <c r="A1044">
        <v>44</v>
      </c>
      <c r="B1044" t="s">
        <v>514</v>
      </c>
      <c r="C1044" t="s">
        <v>21</v>
      </c>
      <c r="D1044">
        <v>10</v>
      </c>
      <c r="E1044" t="s">
        <v>534</v>
      </c>
      <c r="F1044" t="s">
        <v>23</v>
      </c>
      <c r="G1044">
        <v>41</v>
      </c>
      <c r="H1044">
        <v>1267</v>
      </c>
      <c r="I1044">
        <v>20.6</v>
      </c>
      <c r="J1044" t="s">
        <v>523</v>
      </c>
    </row>
    <row r="1045" spans="1:10" x14ac:dyDescent="0.25">
      <c r="A1045">
        <v>44</v>
      </c>
      <c r="B1045" t="s">
        <v>514</v>
      </c>
      <c r="C1045" t="s">
        <v>21</v>
      </c>
      <c r="D1045">
        <v>24</v>
      </c>
      <c r="E1045" t="s">
        <v>524</v>
      </c>
      <c r="F1045" t="s">
        <v>28</v>
      </c>
      <c r="G1045">
        <v>6</v>
      </c>
      <c r="H1045">
        <v>353</v>
      </c>
      <c r="I1045">
        <v>10.8</v>
      </c>
      <c r="J1045" t="s">
        <v>523</v>
      </c>
    </row>
    <row r="1046" spans="1:10" x14ac:dyDescent="0.25">
      <c r="A1046">
        <v>44</v>
      </c>
      <c r="B1046" t="s">
        <v>514</v>
      </c>
      <c r="C1046" t="s">
        <v>21</v>
      </c>
      <c r="D1046">
        <v>25</v>
      </c>
      <c r="E1046" t="s">
        <v>525</v>
      </c>
      <c r="F1046" t="s">
        <v>25</v>
      </c>
      <c r="G1046">
        <v>26</v>
      </c>
      <c r="H1046">
        <v>2132</v>
      </c>
      <c r="I1046">
        <v>7.8</v>
      </c>
      <c r="J1046" t="s">
        <v>523</v>
      </c>
    </row>
    <row r="1047" spans="1:10" x14ac:dyDescent="0.25">
      <c r="A1047">
        <v>44</v>
      </c>
      <c r="B1047" t="s">
        <v>514</v>
      </c>
      <c r="C1047" t="s">
        <v>21</v>
      </c>
      <c r="D1047">
        <v>27</v>
      </c>
      <c r="E1047" t="s">
        <v>526</v>
      </c>
      <c r="F1047" t="s">
        <v>25</v>
      </c>
      <c r="G1047">
        <v>24</v>
      </c>
      <c r="H1047">
        <v>681</v>
      </c>
      <c r="I1047">
        <v>22.4</v>
      </c>
      <c r="J1047" t="s">
        <v>523</v>
      </c>
    </row>
    <row r="1048" spans="1:10" x14ac:dyDescent="0.25">
      <c r="A1048">
        <v>44</v>
      </c>
      <c r="B1048" t="s">
        <v>514</v>
      </c>
      <c r="C1048" t="s">
        <v>21</v>
      </c>
      <c r="D1048">
        <v>30</v>
      </c>
      <c r="E1048" t="s">
        <v>530</v>
      </c>
      <c r="F1048" t="s">
        <v>14</v>
      </c>
      <c r="G1048">
        <v>26</v>
      </c>
      <c r="H1048">
        <v>921</v>
      </c>
      <c r="I1048">
        <v>18</v>
      </c>
      <c r="J1048" t="s">
        <v>523</v>
      </c>
    </row>
    <row r="1049" spans="1:10" x14ac:dyDescent="0.25">
      <c r="A1049">
        <v>44</v>
      </c>
      <c r="B1049" t="s">
        <v>514</v>
      </c>
      <c r="C1049" t="s">
        <v>21</v>
      </c>
      <c r="D1049">
        <v>31</v>
      </c>
      <c r="E1049" t="s">
        <v>496</v>
      </c>
      <c r="F1049" t="s">
        <v>28</v>
      </c>
      <c r="G1049">
        <v>8</v>
      </c>
      <c r="H1049">
        <v>794</v>
      </c>
      <c r="I1049">
        <v>6.4</v>
      </c>
      <c r="J1049" t="s">
        <v>523</v>
      </c>
    </row>
    <row r="1050" spans="1:10" x14ac:dyDescent="0.25">
      <c r="A1050">
        <v>45</v>
      </c>
      <c r="B1050" t="s">
        <v>515</v>
      </c>
      <c r="C1050" t="s">
        <v>26</v>
      </c>
      <c r="D1050">
        <v>1</v>
      </c>
      <c r="E1050" t="s">
        <v>466</v>
      </c>
      <c r="F1050" t="s">
        <v>23</v>
      </c>
      <c r="G1050">
        <v>26</v>
      </c>
      <c r="H1050">
        <v>1307</v>
      </c>
      <c r="I1050">
        <v>12.7</v>
      </c>
      <c r="J1050" t="s">
        <v>523</v>
      </c>
    </row>
    <row r="1051" spans="1:10" x14ac:dyDescent="0.25">
      <c r="A1051">
        <v>45</v>
      </c>
      <c r="B1051" t="s">
        <v>515</v>
      </c>
      <c r="C1051" t="s">
        <v>26</v>
      </c>
      <c r="D1051">
        <v>2</v>
      </c>
      <c r="E1051" t="s">
        <v>462</v>
      </c>
      <c r="F1051" t="s">
        <v>23</v>
      </c>
      <c r="G1051">
        <v>23</v>
      </c>
      <c r="H1051">
        <v>1113</v>
      </c>
      <c r="I1051">
        <v>13.2</v>
      </c>
      <c r="J1051" t="s">
        <v>523</v>
      </c>
    </row>
    <row r="1052" spans="1:10" x14ac:dyDescent="0.25">
      <c r="A1052">
        <v>45</v>
      </c>
      <c r="B1052" t="s">
        <v>515</v>
      </c>
      <c r="C1052" t="s">
        <v>26</v>
      </c>
      <c r="D1052">
        <v>3</v>
      </c>
      <c r="E1052" t="s">
        <v>493</v>
      </c>
      <c r="F1052" t="s">
        <v>25</v>
      </c>
      <c r="G1052">
        <v>63</v>
      </c>
      <c r="H1052">
        <v>1497</v>
      </c>
      <c r="I1052">
        <v>26.8</v>
      </c>
      <c r="J1052" t="s">
        <v>523</v>
      </c>
    </row>
    <row r="1053" spans="1:10" x14ac:dyDescent="0.25">
      <c r="A1053">
        <v>45</v>
      </c>
      <c r="B1053" t="s">
        <v>515</v>
      </c>
      <c r="C1053" t="s">
        <v>26</v>
      </c>
      <c r="D1053">
        <v>6</v>
      </c>
      <c r="E1053" t="s">
        <v>527</v>
      </c>
      <c r="F1053" t="s">
        <v>17</v>
      </c>
      <c r="G1053">
        <v>8</v>
      </c>
      <c r="H1053">
        <v>3200</v>
      </c>
      <c r="I1053">
        <v>1.6</v>
      </c>
      <c r="J1053" t="s">
        <v>523</v>
      </c>
    </row>
    <row r="1054" spans="1:10" x14ac:dyDescent="0.25">
      <c r="A1054">
        <v>45</v>
      </c>
      <c r="B1054" t="s">
        <v>515</v>
      </c>
      <c r="C1054" t="s">
        <v>26</v>
      </c>
      <c r="D1054">
        <v>7</v>
      </c>
      <c r="E1054" t="s">
        <v>528</v>
      </c>
      <c r="F1054" t="s">
        <v>28</v>
      </c>
      <c r="G1054">
        <v>15</v>
      </c>
      <c r="H1054">
        <v>1161</v>
      </c>
      <c r="I1054">
        <v>8.1999999999999993</v>
      </c>
      <c r="J1054" t="s">
        <v>523</v>
      </c>
    </row>
    <row r="1055" spans="1:10" x14ac:dyDescent="0.25">
      <c r="A1055">
        <v>45</v>
      </c>
      <c r="B1055" t="s">
        <v>515</v>
      </c>
      <c r="C1055" t="s">
        <v>26</v>
      </c>
      <c r="D1055">
        <v>8</v>
      </c>
      <c r="E1055" t="s">
        <v>529</v>
      </c>
      <c r="F1055" t="s">
        <v>14</v>
      </c>
      <c r="G1055">
        <v>8</v>
      </c>
      <c r="H1055">
        <v>1004</v>
      </c>
      <c r="I1055">
        <v>5.0999999999999996</v>
      </c>
      <c r="J1055" t="s">
        <v>523</v>
      </c>
    </row>
    <row r="1056" spans="1:10" x14ac:dyDescent="0.25">
      <c r="A1056">
        <v>44</v>
      </c>
      <c r="B1056" t="s">
        <v>514</v>
      </c>
      <c r="C1056" t="s">
        <v>21</v>
      </c>
      <c r="D1056">
        <v>2</v>
      </c>
      <c r="E1056" t="s">
        <v>462</v>
      </c>
      <c r="F1056" t="s">
        <v>23</v>
      </c>
      <c r="G1056">
        <v>4</v>
      </c>
      <c r="H1056">
        <v>920</v>
      </c>
      <c r="I1056">
        <v>2.8</v>
      </c>
      <c r="J1056" t="s">
        <v>523</v>
      </c>
    </row>
    <row r="1057" spans="1:10" x14ac:dyDescent="0.25">
      <c r="A1057">
        <v>44</v>
      </c>
      <c r="B1057" t="s">
        <v>514</v>
      </c>
      <c r="C1057" t="s">
        <v>21</v>
      </c>
      <c r="D1057">
        <v>3</v>
      </c>
      <c r="E1057" t="s">
        <v>493</v>
      </c>
      <c r="F1057" t="s">
        <v>25</v>
      </c>
      <c r="G1057">
        <v>19</v>
      </c>
      <c r="H1057">
        <v>1598</v>
      </c>
      <c r="I1057">
        <v>7.6</v>
      </c>
      <c r="J1057" t="s">
        <v>523</v>
      </c>
    </row>
    <row r="1058" spans="1:10" x14ac:dyDescent="0.25">
      <c r="A1058">
        <v>43</v>
      </c>
      <c r="B1058" t="s">
        <v>548</v>
      </c>
      <c r="C1058" t="s">
        <v>19</v>
      </c>
      <c r="D1058">
        <v>30</v>
      </c>
      <c r="E1058" t="s">
        <v>530</v>
      </c>
      <c r="F1058" t="s">
        <v>14</v>
      </c>
      <c r="G1058">
        <v>14</v>
      </c>
      <c r="H1058">
        <v>581</v>
      </c>
      <c r="I1058">
        <v>15.3</v>
      </c>
      <c r="J1058" t="s">
        <v>523</v>
      </c>
    </row>
    <row r="1059" spans="1:10" x14ac:dyDescent="0.25">
      <c r="A1059">
        <v>43</v>
      </c>
      <c r="B1059" t="s">
        <v>548</v>
      </c>
      <c r="C1059" t="s">
        <v>19</v>
      </c>
      <c r="D1059">
        <v>31</v>
      </c>
      <c r="E1059" t="s">
        <v>496</v>
      </c>
      <c r="F1059" t="s">
        <v>28</v>
      </c>
      <c r="G1059">
        <v>18</v>
      </c>
      <c r="H1059">
        <v>1191</v>
      </c>
      <c r="I1059">
        <v>9.6</v>
      </c>
      <c r="J1059" t="s">
        <v>523</v>
      </c>
    </row>
    <row r="1060" spans="1:10" x14ac:dyDescent="0.25">
      <c r="A1060">
        <v>43</v>
      </c>
      <c r="B1060" t="s">
        <v>548</v>
      </c>
      <c r="C1060" t="s">
        <v>19</v>
      </c>
      <c r="D1060">
        <v>33</v>
      </c>
      <c r="E1060" t="s">
        <v>490</v>
      </c>
      <c r="F1060" t="s">
        <v>23</v>
      </c>
      <c r="G1060">
        <v>5</v>
      </c>
      <c r="H1060">
        <v>149</v>
      </c>
      <c r="I1060">
        <v>21.4</v>
      </c>
      <c r="J1060" t="s">
        <v>523</v>
      </c>
    </row>
    <row r="1061" spans="1:10" x14ac:dyDescent="0.25">
      <c r="A1061">
        <v>43</v>
      </c>
      <c r="B1061" t="s">
        <v>548</v>
      </c>
      <c r="C1061" t="s">
        <v>19</v>
      </c>
      <c r="D1061">
        <v>34</v>
      </c>
      <c r="E1061" t="s">
        <v>467</v>
      </c>
      <c r="F1061" t="s">
        <v>17</v>
      </c>
      <c r="G1061">
        <v>7</v>
      </c>
      <c r="H1061">
        <v>138</v>
      </c>
      <c r="I1061">
        <v>32.299999999999997</v>
      </c>
      <c r="J1061" t="s">
        <v>523</v>
      </c>
    </row>
    <row r="1062" spans="1:10" x14ac:dyDescent="0.25">
      <c r="A1062">
        <v>43</v>
      </c>
      <c r="B1062" t="s">
        <v>548</v>
      </c>
      <c r="C1062" t="s">
        <v>19</v>
      </c>
      <c r="D1062">
        <v>23</v>
      </c>
      <c r="E1062" t="s">
        <v>506</v>
      </c>
      <c r="F1062" t="s">
        <v>23</v>
      </c>
      <c r="G1062">
        <v>2</v>
      </c>
      <c r="H1062">
        <v>249</v>
      </c>
      <c r="I1062">
        <v>5.0999999999999996</v>
      </c>
      <c r="J1062" t="s">
        <v>523</v>
      </c>
    </row>
    <row r="1063" spans="1:10" x14ac:dyDescent="0.25">
      <c r="A1063">
        <v>43</v>
      </c>
      <c r="B1063" t="s">
        <v>548</v>
      </c>
      <c r="C1063" t="s">
        <v>19</v>
      </c>
      <c r="D1063">
        <v>24</v>
      </c>
      <c r="E1063" t="s">
        <v>524</v>
      </c>
      <c r="F1063" t="s">
        <v>28</v>
      </c>
      <c r="G1063">
        <v>16</v>
      </c>
      <c r="H1063">
        <v>519</v>
      </c>
      <c r="I1063">
        <v>19.600000000000001</v>
      </c>
      <c r="J1063" t="s">
        <v>523</v>
      </c>
    </row>
    <row r="1064" spans="1:10" x14ac:dyDescent="0.25">
      <c r="A1064">
        <v>43</v>
      </c>
      <c r="B1064" t="s">
        <v>548</v>
      </c>
      <c r="C1064" t="s">
        <v>19</v>
      </c>
      <c r="D1064">
        <v>25</v>
      </c>
      <c r="E1064" t="s">
        <v>525</v>
      </c>
      <c r="F1064" t="s">
        <v>25</v>
      </c>
      <c r="G1064">
        <v>55</v>
      </c>
      <c r="H1064">
        <v>2123</v>
      </c>
      <c r="I1064">
        <v>16.5</v>
      </c>
      <c r="J1064" t="s">
        <v>523</v>
      </c>
    </row>
    <row r="1065" spans="1:10" x14ac:dyDescent="0.25">
      <c r="A1065">
        <v>43</v>
      </c>
      <c r="B1065" t="s">
        <v>548</v>
      </c>
      <c r="C1065" t="s">
        <v>19</v>
      </c>
      <c r="D1065">
        <v>26</v>
      </c>
      <c r="E1065" t="s">
        <v>519</v>
      </c>
      <c r="F1065" t="s">
        <v>25</v>
      </c>
      <c r="G1065">
        <v>6</v>
      </c>
      <c r="H1065">
        <v>138</v>
      </c>
      <c r="I1065">
        <v>27.7</v>
      </c>
      <c r="J1065" t="s">
        <v>523</v>
      </c>
    </row>
    <row r="1066" spans="1:10" x14ac:dyDescent="0.25">
      <c r="A1066">
        <v>43</v>
      </c>
      <c r="B1066" t="s">
        <v>548</v>
      </c>
      <c r="C1066" t="s">
        <v>19</v>
      </c>
      <c r="D1066">
        <v>1</v>
      </c>
      <c r="E1066" t="s">
        <v>466</v>
      </c>
      <c r="F1066" t="s">
        <v>23</v>
      </c>
      <c r="G1066">
        <v>24</v>
      </c>
      <c r="H1066">
        <v>873</v>
      </c>
      <c r="I1066">
        <v>17.5</v>
      </c>
      <c r="J1066" t="s">
        <v>523</v>
      </c>
    </row>
    <row r="1067" spans="1:10" x14ac:dyDescent="0.25">
      <c r="A1067">
        <v>43</v>
      </c>
      <c r="B1067" t="s">
        <v>548</v>
      </c>
      <c r="C1067" t="s">
        <v>19</v>
      </c>
      <c r="D1067">
        <v>2</v>
      </c>
      <c r="E1067" t="s">
        <v>462</v>
      </c>
      <c r="F1067" t="s">
        <v>23</v>
      </c>
      <c r="G1067">
        <v>8</v>
      </c>
      <c r="H1067">
        <v>383</v>
      </c>
      <c r="I1067">
        <v>13.3</v>
      </c>
      <c r="J1067" t="s">
        <v>523</v>
      </c>
    </row>
    <row r="1068" spans="1:10" x14ac:dyDescent="0.25">
      <c r="A1068">
        <v>43</v>
      </c>
      <c r="B1068" t="s">
        <v>548</v>
      </c>
      <c r="C1068" t="s">
        <v>19</v>
      </c>
      <c r="D1068">
        <v>3</v>
      </c>
      <c r="E1068" t="s">
        <v>493</v>
      </c>
      <c r="F1068" t="s">
        <v>25</v>
      </c>
      <c r="G1068">
        <v>20</v>
      </c>
      <c r="H1068">
        <v>1010</v>
      </c>
      <c r="I1068">
        <v>12.6</v>
      </c>
      <c r="J1068" t="s">
        <v>523</v>
      </c>
    </row>
    <row r="1069" spans="1:10" x14ac:dyDescent="0.25">
      <c r="A1069">
        <v>43</v>
      </c>
      <c r="B1069" t="s">
        <v>548</v>
      </c>
      <c r="C1069" t="s">
        <v>19</v>
      </c>
      <c r="D1069">
        <v>6</v>
      </c>
      <c r="E1069" t="s">
        <v>527</v>
      </c>
      <c r="F1069" t="s">
        <v>17</v>
      </c>
      <c r="G1069">
        <v>18</v>
      </c>
      <c r="H1069">
        <v>1852</v>
      </c>
      <c r="I1069">
        <v>6.2</v>
      </c>
      <c r="J1069" t="s">
        <v>523</v>
      </c>
    </row>
    <row r="1070" spans="1:10" x14ac:dyDescent="0.25">
      <c r="A1070">
        <v>43</v>
      </c>
      <c r="B1070" t="s">
        <v>548</v>
      </c>
      <c r="C1070" t="s">
        <v>19</v>
      </c>
      <c r="D1070">
        <v>7</v>
      </c>
      <c r="E1070" t="s">
        <v>528</v>
      </c>
      <c r="F1070" t="s">
        <v>28</v>
      </c>
      <c r="G1070">
        <v>25</v>
      </c>
      <c r="H1070">
        <v>514</v>
      </c>
      <c r="I1070">
        <v>31</v>
      </c>
      <c r="J1070" t="s">
        <v>523</v>
      </c>
    </row>
    <row r="1071" spans="1:10" x14ac:dyDescent="0.25">
      <c r="A1071">
        <v>43</v>
      </c>
      <c r="B1071" t="s">
        <v>548</v>
      </c>
      <c r="C1071" t="s">
        <v>19</v>
      </c>
      <c r="D1071">
        <v>8</v>
      </c>
      <c r="E1071" t="s">
        <v>529</v>
      </c>
      <c r="F1071" t="s">
        <v>14</v>
      </c>
      <c r="G1071">
        <v>71</v>
      </c>
      <c r="H1071">
        <v>2002</v>
      </c>
      <c r="I1071">
        <v>22.6</v>
      </c>
      <c r="J1071" t="s">
        <v>523</v>
      </c>
    </row>
    <row r="1072" spans="1:10" x14ac:dyDescent="0.25">
      <c r="A1072">
        <v>43</v>
      </c>
      <c r="B1072" t="s">
        <v>548</v>
      </c>
      <c r="C1072" t="s">
        <v>19</v>
      </c>
      <c r="D1072">
        <v>9</v>
      </c>
      <c r="E1072" t="s">
        <v>468</v>
      </c>
      <c r="F1072" t="s">
        <v>23</v>
      </c>
      <c r="G1072">
        <v>4</v>
      </c>
      <c r="H1072">
        <v>593</v>
      </c>
      <c r="I1072">
        <v>4.3</v>
      </c>
      <c r="J1072" t="s">
        <v>523</v>
      </c>
    </row>
    <row r="1073" spans="1:10" x14ac:dyDescent="0.25">
      <c r="A1073">
        <v>43</v>
      </c>
      <c r="B1073" t="s">
        <v>548</v>
      </c>
      <c r="C1073" t="s">
        <v>19</v>
      </c>
      <c r="D1073">
        <v>11</v>
      </c>
      <c r="E1073" t="s">
        <v>469</v>
      </c>
      <c r="F1073" t="s">
        <v>25</v>
      </c>
      <c r="G1073">
        <v>3</v>
      </c>
      <c r="H1073">
        <v>177</v>
      </c>
      <c r="I1073">
        <v>10.8</v>
      </c>
      <c r="J1073" t="s">
        <v>523</v>
      </c>
    </row>
    <row r="1074" spans="1:10" x14ac:dyDescent="0.25">
      <c r="A1074">
        <v>43</v>
      </c>
      <c r="B1074" t="s">
        <v>548</v>
      </c>
      <c r="C1074" t="s">
        <v>19</v>
      </c>
      <c r="D1074">
        <v>12</v>
      </c>
      <c r="E1074" t="s">
        <v>475</v>
      </c>
      <c r="F1074" t="s">
        <v>28</v>
      </c>
      <c r="G1074">
        <v>3</v>
      </c>
      <c r="H1074">
        <v>174</v>
      </c>
      <c r="I1074">
        <v>11</v>
      </c>
      <c r="J1074" t="s">
        <v>523</v>
      </c>
    </row>
    <row r="1075" spans="1:10" x14ac:dyDescent="0.25">
      <c r="A1075">
        <v>43</v>
      </c>
      <c r="B1075" t="s">
        <v>548</v>
      </c>
      <c r="C1075" t="s">
        <v>19</v>
      </c>
      <c r="D1075">
        <v>13</v>
      </c>
      <c r="E1075" t="s">
        <v>481</v>
      </c>
      <c r="F1075" t="s">
        <v>17</v>
      </c>
      <c r="G1075">
        <v>12</v>
      </c>
      <c r="H1075">
        <v>544</v>
      </c>
      <c r="I1075">
        <v>14.1</v>
      </c>
      <c r="J1075" t="s">
        <v>523</v>
      </c>
    </row>
    <row r="1076" spans="1:10" x14ac:dyDescent="0.25">
      <c r="A1076">
        <v>43</v>
      </c>
      <c r="B1076" t="s">
        <v>548</v>
      </c>
      <c r="C1076" t="s">
        <v>19</v>
      </c>
      <c r="D1076">
        <v>14</v>
      </c>
      <c r="E1076" t="s">
        <v>482</v>
      </c>
      <c r="F1076" t="s">
        <v>14</v>
      </c>
      <c r="G1076">
        <v>16</v>
      </c>
      <c r="H1076">
        <v>425</v>
      </c>
      <c r="I1076">
        <v>24</v>
      </c>
      <c r="J1076" t="s">
        <v>523</v>
      </c>
    </row>
    <row r="1077" spans="1:10" x14ac:dyDescent="0.25">
      <c r="A1077">
        <v>43</v>
      </c>
      <c r="B1077" t="s">
        <v>548</v>
      </c>
      <c r="C1077" t="s">
        <v>19</v>
      </c>
      <c r="D1077">
        <v>15</v>
      </c>
      <c r="E1077" t="s">
        <v>471</v>
      </c>
      <c r="F1077" t="s">
        <v>23</v>
      </c>
      <c r="G1077">
        <v>10</v>
      </c>
      <c r="H1077">
        <v>349</v>
      </c>
      <c r="I1077">
        <v>18.3</v>
      </c>
      <c r="J1077" t="s">
        <v>523</v>
      </c>
    </row>
    <row r="1078" spans="1:10" x14ac:dyDescent="0.25">
      <c r="A1078">
        <v>43</v>
      </c>
      <c r="B1078" t="s">
        <v>548</v>
      </c>
      <c r="C1078" t="s">
        <v>19</v>
      </c>
      <c r="D1078">
        <v>17</v>
      </c>
      <c r="E1078" t="s">
        <v>531</v>
      </c>
      <c r="F1078" t="s">
        <v>25</v>
      </c>
      <c r="G1078">
        <v>18</v>
      </c>
      <c r="H1078">
        <v>363</v>
      </c>
      <c r="I1078">
        <v>31.6</v>
      </c>
      <c r="J1078" t="s">
        <v>523</v>
      </c>
    </row>
    <row r="1079" spans="1:10" x14ac:dyDescent="0.25">
      <c r="A1079">
        <v>43</v>
      </c>
      <c r="B1079" t="s">
        <v>548</v>
      </c>
      <c r="C1079" t="s">
        <v>19</v>
      </c>
      <c r="D1079">
        <v>18</v>
      </c>
      <c r="E1079" t="s">
        <v>532</v>
      </c>
      <c r="F1079" t="s">
        <v>23</v>
      </c>
      <c r="G1079">
        <v>16</v>
      </c>
      <c r="H1079">
        <v>760</v>
      </c>
      <c r="I1079">
        <v>13.4</v>
      </c>
      <c r="J1079" t="s">
        <v>523</v>
      </c>
    </row>
    <row r="1080" spans="1:10" x14ac:dyDescent="0.25">
      <c r="A1080">
        <v>43</v>
      </c>
      <c r="B1080" t="s">
        <v>548</v>
      </c>
      <c r="C1080" t="s">
        <v>19</v>
      </c>
      <c r="D1080">
        <v>19</v>
      </c>
      <c r="E1080" t="s">
        <v>522</v>
      </c>
      <c r="F1080" t="s">
        <v>25</v>
      </c>
      <c r="G1080">
        <v>17</v>
      </c>
      <c r="H1080">
        <v>1094</v>
      </c>
      <c r="I1080">
        <v>9.9</v>
      </c>
      <c r="J1080" t="s">
        <v>523</v>
      </c>
    </row>
    <row r="1081" spans="1:10" x14ac:dyDescent="0.25">
      <c r="A1081">
        <v>42</v>
      </c>
      <c r="B1081" t="s">
        <v>512</v>
      </c>
      <c r="C1081" t="s">
        <v>26</v>
      </c>
      <c r="D1081">
        <v>17</v>
      </c>
      <c r="E1081" t="s">
        <v>531</v>
      </c>
      <c r="F1081" t="s">
        <v>25</v>
      </c>
      <c r="G1081">
        <v>11</v>
      </c>
      <c r="H1081">
        <v>682</v>
      </c>
      <c r="I1081">
        <v>10.3</v>
      </c>
      <c r="J1081" t="s">
        <v>523</v>
      </c>
    </row>
    <row r="1082" spans="1:10" x14ac:dyDescent="0.25">
      <c r="A1082">
        <v>42</v>
      </c>
      <c r="B1082" t="s">
        <v>512</v>
      </c>
      <c r="C1082" t="s">
        <v>26</v>
      </c>
      <c r="D1082">
        <v>18</v>
      </c>
      <c r="E1082" t="s">
        <v>532</v>
      </c>
      <c r="F1082" t="s">
        <v>23</v>
      </c>
      <c r="G1082">
        <v>21</v>
      </c>
      <c r="H1082">
        <v>1962</v>
      </c>
      <c r="I1082">
        <v>6.8</v>
      </c>
      <c r="J1082" t="s">
        <v>523</v>
      </c>
    </row>
    <row r="1083" spans="1:10" x14ac:dyDescent="0.25">
      <c r="A1083">
        <v>42</v>
      </c>
      <c r="B1083" t="s">
        <v>512</v>
      </c>
      <c r="C1083" t="s">
        <v>26</v>
      </c>
      <c r="D1083">
        <v>19</v>
      </c>
      <c r="E1083" t="s">
        <v>522</v>
      </c>
      <c r="F1083" t="s">
        <v>25</v>
      </c>
      <c r="G1083">
        <v>44</v>
      </c>
      <c r="H1083">
        <v>2127</v>
      </c>
      <c r="I1083">
        <v>13.2</v>
      </c>
      <c r="J1083" t="s">
        <v>523</v>
      </c>
    </row>
    <row r="1084" spans="1:10" x14ac:dyDescent="0.25">
      <c r="A1084">
        <v>41</v>
      </c>
      <c r="B1084" t="s">
        <v>511</v>
      </c>
      <c r="C1084" t="s">
        <v>19</v>
      </c>
      <c r="D1084">
        <v>33</v>
      </c>
      <c r="E1084" t="s">
        <v>490</v>
      </c>
      <c r="F1084" t="s">
        <v>23</v>
      </c>
      <c r="G1084">
        <v>13</v>
      </c>
      <c r="H1084">
        <v>330</v>
      </c>
      <c r="I1084">
        <v>25.1</v>
      </c>
      <c r="J1084" t="s">
        <v>523</v>
      </c>
    </row>
    <row r="1085" spans="1:10" x14ac:dyDescent="0.25">
      <c r="A1085">
        <v>42</v>
      </c>
      <c r="B1085" t="s">
        <v>512</v>
      </c>
      <c r="C1085" t="s">
        <v>26</v>
      </c>
      <c r="D1085">
        <v>25</v>
      </c>
      <c r="E1085" t="s">
        <v>525</v>
      </c>
      <c r="F1085" t="s">
        <v>25</v>
      </c>
      <c r="G1085">
        <v>46</v>
      </c>
      <c r="H1085">
        <v>2211</v>
      </c>
      <c r="I1085">
        <v>13.3</v>
      </c>
      <c r="J1085" t="s">
        <v>523</v>
      </c>
    </row>
    <row r="1086" spans="1:10" x14ac:dyDescent="0.25">
      <c r="A1086">
        <v>39</v>
      </c>
      <c r="B1086" t="s">
        <v>509</v>
      </c>
      <c r="C1086" t="s">
        <v>19</v>
      </c>
      <c r="D1086">
        <v>14</v>
      </c>
      <c r="E1086" t="s">
        <v>482</v>
      </c>
      <c r="F1086" t="s">
        <v>14</v>
      </c>
      <c r="G1086">
        <v>12</v>
      </c>
      <c r="H1086">
        <v>804</v>
      </c>
      <c r="I1086">
        <v>9.5</v>
      </c>
      <c r="J1086" t="s">
        <v>523</v>
      </c>
    </row>
    <row r="1087" spans="1:10" x14ac:dyDescent="0.25">
      <c r="A1087">
        <v>42</v>
      </c>
      <c r="B1087" t="s">
        <v>512</v>
      </c>
      <c r="C1087" t="s">
        <v>26</v>
      </c>
      <c r="D1087">
        <v>27</v>
      </c>
      <c r="E1087" t="s">
        <v>526</v>
      </c>
      <c r="F1087" t="s">
        <v>25</v>
      </c>
      <c r="G1087">
        <v>23</v>
      </c>
      <c r="H1087">
        <v>450</v>
      </c>
      <c r="I1087">
        <v>32.6</v>
      </c>
      <c r="J1087" t="s">
        <v>523</v>
      </c>
    </row>
    <row r="1088" spans="1:10" x14ac:dyDescent="0.25">
      <c r="A1088">
        <v>42</v>
      </c>
      <c r="B1088" t="s">
        <v>512</v>
      </c>
      <c r="C1088" t="s">
        <v>26</v>
      </c>
      <c r="D1088">
        <v>30</v>
      </c>
      <c r="E1088" t="s">
        <v>530</v>
      </c>
      <c r="F1088" t="s">
        <v>14</v>
      </c>
      <c r="G1088">
        <v>9</v>
      </c>
      <c r="H1088">
        <v>1051</v>
      </c>
      <c r="I1088">
        <v>5.5</v>
      </c>
      <c r="J1088" t="s">
        <v>523</v>
      </c>
    </row>
    <row r="1089" spans="1:10" x14ac:dyDescent="0.25">
      <c r="A1089">
        <v>42</v>
      </c>
      <c r="B1089" t="s">
        <v>512</v>
      </c>
      <c r="C1089" t="s">
        <v>26</v>
      </c>
      <c r="D1089">
        <v>31</v>
      </c>
      <c r="E1089" t="s">
        <v>496</v>
      </c>
      <c r="F1089" t="s">
        <v>28</v>
      </c>
      <c r="G1089">
        <v>11</v>
      </c>
      <c r="H1089">
        <v>689</v>
      </c>
      <c r="I1089">
        <v>10.199999999999999</v>
      </c>
      <c r="J1089" t="s">
        <v>523</v>
      </c>
    </row>
    <row r="1090" spans="1:10" x14ac:dyDescent="0.25">
      <c r="A1090">
        <v>41</v>
      </c>
      <c r="B1090" t="s">
        <v>511</v>
      </c>
      <c r="C1090" t="s">
        <v>19</v>
      </c>
      <c r="D1090">
        <v>31</v>
      </c>
      <c r="E1090" t="s">
        <v>496</v>
      </c>
      <c r="F1090" t="s">
        <v>28</v>
      </c>
      <c r="G1090">
        <v>18</v>
      </c>
      <c r="H1090">
        <v>1494</v>
      </c>
      <c r="I1090">
        <v>7.7</v>
      </c>
      <c r="J1090" t="s">
        <v>523</v>
      </c>
    </row>
    <row r="1091" spans="1:10" x14ac:dyDescent="0.25">
      <c r="A1091">
        <v>41</v>
      </c>
      <c r="B1091" t="s">
        <v>511</v>
      </c>
      <c r="C1091" t="s">
        <v>19</v>
      </c>
      <c r="D1091">
        <v>35</v>
      </c>
      <c r="E1091" t="s">
        <v>539</v>
      </c>
      <c r="F1091" t="s">
        <v>14</v>
      </c>
      <c r="G1091">
        <v>10</v>
      </c>
      <c r="H1091">
        <v>202</v>
      </c>
      <c r="I1091">
        <v>31.5</v>
      </c>
      <c r="J1091" t="s">
        <v>523</v>
      </c>
    </row>
    <row r="1092" spans="1:10" x14ac:dyDescent="0.25">
      <c r="A1092">
        <v>42</v>
      </c>
      <c r="B1092" t="s">
        <v>512</v>
      </c>
      <c r="C1092" t="s">
        <v>26</v>
      </c>
      <c r="D1092">
        <v>1</v>
      </c>
      <c r="E1092" t="s">
        <v>466</v>
      </c>
      <c r="F1092" t="s">
        <v>23</v>
      </c>
      <c r="G1092">
        <v>8</v>
      </c>
      <c r="H1092">
        <v>605</v>
      </c>
      <c r="I1092">
        <v>8.4</v>
      </c>
      <c r="J1092" t="s">
        <v>523</v>
      </c>
    </row>
    <row r="1093" spans="1:10" x14ac:dyDescent="0.25">
      <c r="A1093">
        <v>42</v>
      </c>
      <c r="B1093" t="s">
        <v>512</v>
      </c>
      <c r="C1093" t="s">
        <v>26</v>
      </c>
      <c r="D1093">
        <v>2</v>
      </c>
      <c r="E1093" t="s">
        <v>462</v>
      </c>
      <c r="F1093" t="s">
        <v>23</v>
      </c>
      <c r="G1093">
        <v>10</v>
      </c>
      <c r="H1093">
        <v>476</v>
      </c>
      <c r="I1093">
        <v>13.4</v>
      </c>
      <c r="J1093" t="s">
        <v>523</v>
      </c>
    </row>
    <row r="1094" spans="1:10" x14ac:dyDescent="0.25">
      <c r="A1094">
        <v>42</v>
      </c>
      <c r="B1094" t="s">
        <v>512</v>
      </c>
      <c r="C1094" t="s">
        <v>26</v>
      </c>
      <c r="D1094">
        <v>3</v>
      </c>
      <c r="E1094" t="s">
        <v>493</v>
      </c>
      <c r="F1094" t="s">
        <v>25</v>
      </c>
      <c r="G1094">
        <v>32</v>
      </c>
      <c r="H1094">
        <v>945</v>
      </c>
      <c r="I1094">
        <v>21.6</v>
      </c>
      <c r="J1094" t="s">
        <v>523</v>
      </c>
    </row>
    <row r="1095" spans="1:10" x14ac:dyDescent="0.25">
      <c r="A1095">
        <v>42</v>
      </c>
      <c r="B1095" t="s">
        <v>512</v>
      </c>
      <c r="C1095" t="s">
        <v>26</v>
      </c>
      <c r="D1095">
        <v>6</v>
      </c>
      <c r="E1095" t="s">
        <v>527</v>
      </c>
      <c r="F1095" t="s">
        <v>17</v>
      </c>
      <c r="G1095">
        <v>29</v>
      </c>
      <c r="H1095">
        <v>4774</v>
      </c>
      <c r="I1095">
        <v>3.9</v>
      </c>
      <c r="J1095" t="s">
        <v>523</v>
      </c>
    </row>
    <row r="1096" spans="1:10" x14ac:dyDescent="0.25">
      <c r="A1096">
        <v>42</v>
      </c>
      <c r="B1096" t="s">
        <v>512</v>
      </c>
      <c r="C1096" t="s">
        <v>26</v>
      </c>
      <c r="D1096">
        <v>7</v>
      </c>
      <c r="E1096" t="s">
        <v>528</v>
      </c>
      <c r="F1096" t="s">
        <v>28</v>
      </c>
      <c r="G1096">
        <v>7</v>
      </c>
      <c r="H1096">
        <v>370</v>
      </c>
      <c r="I1096">
        <v>12.1</v>
      </c>
      <c r="J1096" t="s">
        <v>523</v>
      </c>
    </row>
    <row r="1097" spans="1:10" x14ac:dyDescent="0.25">
      <c r="A1097">
        <v>42</v>
      </c>
      <c r="B1097" t="s">
        <v>512</v>
      </c>
      <c r="C1097" t="s">
        <v>26</v>
      </c>
      <c r="D1097">
        <v>8</v>
      </c>
      <c r="E1097" t="s">
        <v>529</v>
      </c>
      <c r="F1097" t="s">
        <v>14</v>
      </c>
      <c r="G1097">
        <v>54</v>
      </c>
      <c r="H1097">
        <v>2027</v>
      </c>
      <c r="I1097">
        <v>17</v>
      </c>
      <c r="J1097" t="s">
        <v>523</v>
      </c>
    </row>
    <row r="1098" spans="1:10" x14ac:dyDescent="0.25">
      <c r="A1098">
        <v>42</v>
      </c>
      <c r="B1098" t="s">
        <v>512</v>
      </c>
      <c r="C1098" t="s">
        <v>26</v>
      </c>
      <c r="D1098">
        <v>9</v>
      </c>
      <c r="E1098" t="s">
        <v>468</v>
      </c>
      <c r="F1098" t="s">
        <v>23</v>
      </c>
      <c r="G1098">
        <v>30</v>
      </c>
      <c r="H1098">
        <v>868</v>
      </c>
      <c r="I1098">
        <v>22</v>
      </c>
      <c r="J1098" t="s">
        <v>523</v>
      </c>
    </row>
    <row r="1099" spans="1:10" x14ac:dyDescent="0.25">
      <c r="A1099">
        <v>42</v>
      </c>
      <c r="B1099" t="s">
        <v>512</v>
      </c>
      <c r="C1099" t="s">
        <v>26</v>
      </c>
      <c r="D1099">
        <v>12</v>
      </c>
      <c r="E1099" t="s">
        <v>475</v>
      </c>
      <c r="F1099" t="s">
        <v>28</v>
      </c>
      <c r="G1099">
        <v>10</v>
      </c>
      <c r="H1099">
        <v>229</v>
      </c>
      <c r="I1099">
        <v>27.8</v>
      </c>
      <c r="J1099" t="s">
        <v>523</v>
      </c>
    </row>
    <row r="1100" spans="1:10" x14ac:dyDescent="0.25">
      <c r="A1100">
        <v>42</v>
      </c>
      <c r="B1100" t="s">
        <v>512</v>
      </c>
      <c r="C1100" t="s">
        <v>26</v>
      </c>
      <c r="D1100">
        <v>13</v>
      </c>
      <c r="E1100" t="s">
        <v>481</v>
      </c>
      <c r="F1100" t="s">
        <v>17</v>
      </c>
      <c r="G1100">
        <v>7</v>
      </c>
      <c r="H1100">
        <v>374</v>
      </c>
      <c r="I1100">
        <v>11.9</v>
      </c>
      <c r="J1100" t="s">
        <v>523</v>
      </c>
    </row>
    <row r="1101" spans="1:10" x14ac:dyDescent="0.25">
      <c r="A1101">
        <v>42</v>
      </c>
      <c r="B1101" t="s">
        <v>512</v>
      </c>
      <c r="C1101" t="s">
        <v>26</v>
      </c>
      <c r="D1101">
        <v>14</v>
      </c>
      <c r="E1101" t="s">
        <v>482</v>
      </c>
      <c r="F1101" t="s">
        <v>14</v>
      </c>
      <c r="G1101">
        <v>13</v>
      </c>
      <c r="H1101">
        <v>482</v>
      </c>
      <c r="I1101">
        <v>17.2</v>
      </c>
      <c r="J1101" t="s">
        <v>523</v>
      </c>
    </row>
    <row r="1102" spans="1:10" x14ac:dyDescent="0.25">
      <c r="A1102">
        <v>42</v>
      </c>
      <c r="B1102" t="s">
        <v>512</v>
      </c>
      <c r="C1102" t="s">
        <v>26</v>
      </c>
      <c r="D1102">
        <v>15</v>
      </c>
      <c r="E1102" t="s">
        <v>471</v>
      </c>
      <c r="F1102" t="s">
        <v>23</v>
      </c>
      <c r="G1102">
        <v>3</v>
      </c>
      <c r="H1102">
        <v>271</v>
      </c>
      <c r="I1102">
        <v>7.1</v>
      </c>
      <c r="J1102" t="s">
        <v>523</v>
      </c>
    </row>
    <row r="1103" spans="1:10" x14ac:dyDescent="0.25">
      <c r="A1103">
        <v>42</v>
      </c>
      <c r="B1103" t="s">
        <v>512</v>
      </c>
      <c r="C1103" t="s">
        <v>26</v>
      </c>
      <c r="D1103">
        <v>10</v>
      </c>
      <c r="E1103" t="s">
        <v>534</v>
      </c>
      <c r="F1103" t="s">
        <v>23</v>
      </c>
      <c r="G1103">
        <v>39</v>
      </c>
      <c r="H1103">
        <v>194</v>
      </c>
      <c r="I1103">
        <v>128.1</v>
      </c>
      <c r="J1103" t="s">
        <v>549</v>
      </c>
    </row>
    <row r="1104" spans="1:10" x14ac:dyDescent="0.25">
      <c r="A1104">
        <v>42</v>
      </c>
      <c r="B1104" t="s">
        <v>512</v>
      </c>
      <c r="C1104" t="s">
        <v>26</v>
      </c>
      <c r="D1104">
        <v>11</v>
      </c>
      <c r="E1104" t="s">
        <v>469</v>
      </c>
      <c r="F1104" t="s">
        <v>25</v>
      </c>
      <c r="G1104">
        <v>20</v>
      </c>
      <c r="H1104">
        <v>172</v>
      </c>
      <c r="I1104">
        <v>74.099999999999994</v>
      </c>
      <c r="J1104" t="s">
        <v>549</v>
      </c>
    </row>
    <row r="1105" spans="1:10" x14ac:dyDescent="0.25">
      <c r="A1105">
        <v>42</v>
      </c>
      <c r="B1105" t="s">
        <v>512</v>
      </c>
      <c r="C1105" t="s">
        <v>26</v>
      </c>
      <c r="D1105">
        <v>4</v>
      </c>
      <c r="E1105" t="s">
        <v>504</v>
      </c>
      <c r="F1105" t="s">
        <v>14</v>
      </c>
      <c r="G1105">
        <v>11</v>
      </c>
      <c r="H1105">
        <v>121</v>
      </c>
      <c r="I1105">
        <v>57.9</v>
      </c>
      <c r="J1105" t="s">
        <v>549</v>
      </c>
    </row>
    <row r="1106" spans="1:10" x14ac:dyDescent="0.25">
      <c r="A1106">
        <v>42</v>
      </c>
      <c r="B1106" t="s">
        <v>512</v>
      </c>
      <c r="C1106" t="s">
        <v>26</v>
      </c>
      <c r="D1106">
        <v>5</v>
      </c>
      <c r="E1106" t="s">
        <v>464</v>
      </c>
      <c r="F1106" t="s">
        <v>14</v>
      </c>
      <c r="G1106">
        <v>12</v>
      </c>
      <c r="H1106">
        <v>79</v>
      </c>
      <c r="I1106">
        <v>96.8</v>
      </c>
      <c r="J1106" t="s">
        <v>549</v>
      </c>
    </row>
    <row r="1107" spans="1:10" x14ac:dyDescent="0.25">
      <c r="A1107">
        <v>41</v>
      </c>
      <c r="B1107" t="s">
        <v>511</v>
      </c>
      <c r="C1107" t="s">
        <v>19</v>
      </c>
      <c r="D1107">
        <v>32</v>
      </c>
      <c r="E1107" t="s">
        <v>507</v>
      </c>
      <c r="F1107" t="s">
        <v>28</v>
      </c>
      <c r="G1107">
        <v>29</v>
      </c>
      <c r="H1107">
        <v>257</v>
      </c>
      <c r="I1107">
        <v>71.900000000000006</v>
      </c>
      <c r="J1107" t="s">
        <v>549</v>
      </c>
    </row>
    <row r="1108" spans="1:10" x14ac:dyDescent="0.25">
      <c r="A1108">
        <v>41</v>
      </c>
      <c r="B1108" t="s">
        <v>511</v>
      </c>
      <c r="C1108" t="s">
        <v>19</v>
      </c>
      <c r="D1108">
        <v>30</v>
      </c>
      <c r="E1108" t="s">
        <v>530</v>
      </c>
      <c r="F1108" t="s">
        <v>14</v>
      </c>
      <c r="G1108">
        <v>74</v>
      </c>
      <c r="H1108">
        <v>769</v>
      </c>
      <c r="I1108">
        <v>61.3</v>
      </c>
      <c r="J1108" t="s">
        <v>549</v>
      </c>
    </row>
    <row r="1109" spans="1:10" x14ac:dyDescent="0.25">
      <c r="A1109">
        <v>42</v>
      </c>
      <c r="B1109" t="s">
        <v>512</v>
      </c>
      <c r="C1109" t="s">
        <v>26</v>
      </c>
      <c r="D1109">
        <v>32</v>
      </c>
      <c r="E1109" t="s">
        <v>507</v>
      </c>
      <c r="F1109" t="s">
        <v>28</v>
      </c>
      <c r="G1109">
        <v>4</v>
      </c>
      <c r="H1109">
        <v>69</v>
      </c>
      <c r="I1109">
        <v>36.9</v>
      </c>
      <c r="J1109" t="s">
        <v>549</v>
      </c>
    </row>
    <row r="1110" spans="1:10" x14ac:dyDescent="0.25">
      <c r="A1110">
        <v>42</v>
      </c>
      <c r="B1110" t="s">
        <v>512</v>
      </c>
      <c r="C1110" t="s">
        <v>26</v>
      </c>
      <c r="D1110">
        <v>26</v>
      </c>
      <c r="E1110" t="s">
        <v>519</v>
      </c>
      <c r="F1110" t="s">
        <v>25</v>
      </c>
      <c r="G1110">
        <v>18</v>
      </c>
      <c r="H1110">
        <v>194</v>
      </c>
      <c r="I1110">
        <v>59.1</v>
      </c>
      <c r="J1110" t="s">
        <v>549</v>
      </c>
    </row>
    <row r="1111" spans="1:10" x14ac:dyDescent="0.25">
      <c r="A1111">
        <v>41</v>
      </c>
      <c r="B1111" t="s">
        <v>511</v>
      </c>
      <c r="C1111" t="s">
        <v>19</v>
      </c>
      <c r="D1111">
        <v>34</v>
      </c>
      <c r="E1111" t="s">
        <v>467</v>
      </c>
      <c r="F1111" t="s">
        <v>17</v>
      </c>
      <c r="G1111">
        <v>15</v>
      </c>
      <c r="H1111">
        <v>256</v>
      </c>
      <c r="I1111">
        <v>37.299999999999997</v>
      </c>
      <c r="J1111" t="s">
        <v>549</v>
      </c>
    </row>
    <row r="1112" spans="1:10" x14ac:dyDescent="0.25">
      <c r="A1112">
        <v>42</v>
      </c>
      <c r="B1112" t="s">
        <v>512</v>
      </c>
      <c r="C1112" t="s">
        <v>26</v>
      </c>
      <c r="D1112">
        <v>22</v>
      </c>
      <c r="E1112" t="s">
        <v>536</v>
      </c>
      <c r="F1112" t="s">
        <v>14</v>
      </c>
      <c r="G1112">
        <v>7</v>
      </c>
      <c r="H1112">
        <v>106</v>
      </c>
      <c r="I1112">
        <v>42.1</v>
      </c>
      <c r="J1112" t="s">
        <v>549</v>
      </c>
    </row>
    <row r="1113" spans="1:10" x14ac:dyDescent="0.25">
      <c r="A1113">
        <v>42</v>
      </c>
      <c r="B1113" t="s">
        <v>512</v>
      </c>
      <c r="C1113" t="s">
        <v>26</v>
      </c>
      <c r="D1113">
        <v>23</v>
      </c>
      <c r="E1113" t="s">
        <v>506</v>
      </c>
      <c r="F1113" t="s">
        <v>23</v>
      </c>
      <c r="G1113">
        <v>31</v>
      </c>
      <c r="H1113">
        <v>118</v>
      </c>
      <c r="I1113">
        <v>167.3</v>
      </c>
      <c r="J1113" t="s">
        <v>549</v>
      </c>
    </row>
    <row r="1114" spans="1:10" x14ac:dyDescent="0.25">
      <c r="A1114">
        <v>42</v>
      </c>
      <c r="B1114" t="s">
        <v>512</v>
      </c>
      <c r="C1114" t="s">
        <v>26</v>
      </c>
      <c r="D1114">
        <v>24</v>
      </c>
      <c r="E1114" t="s">
        <v>524</v>
      </c>
      <c r="F1114" t="s">
        <v>28</v>
      </c>
      <c r="G1114">
        <v>69</v>
      </c>
      <c r="H1114">
        <v>375</v>
      </c>
      <c r="I1114">
        <v>117.2</v>
      </c>
      <c r="J1114" t="s">
        <v>549</v>
      </c>
    </row>
    <row r="1115" spans="1:10" x14ac:dyDescent="0.25">
      <c r="A1115">
        <v>42</v>
      </c>
      <c r="B1115" t="s">
        <v>512</v>
      </c>
      <c r="C1115" t="s">
        <v>26</v>
      </c>
      <c r="D1115">
        <v>20</v>
      </c>
      <c r="E1115" t="s">
        <v>533</v>
      </c>
      <c r="F1115" t="s">
        <v>28</v>
      </c>
      <c r="G1115">
        <v>8</v>
      </c>
      <c r="H1115">
        <v>117</v>
      </c>
      <c r="I1115">
        <v>43.6</v>
      </c>
      <c r="J1115" t="s">
        <v>549</v>
      </c>
    </row>
    <row r="1116" spans="1:10" x14ac:dyDescent="0.25">
      <c r="A1116">
        <v>43</v>
      </c>
      <c r="B1116" t="s">
        <v>548</v>
      </c>
      <c r="C1116" t="s">
        <v>19</v>
      </c>
      <c r="D1116">
        <v>21</v>
      </c>
      <c r="E1116" t="s">
        <v>476</v>
      </c>
      <c r="F1116" t="s">
        <v>28</v>
      </c>
      <c r="G1116">
        <v>9</v>
      </c>
      <c r="H1116">
        <v>131</v>
      </c>
      <c r="I1116">
        <v>43.8</v>
      </c>
      <c r="J1116" t="s">
        <v>549</v>
      </c>
    </row>
    <row r="1117" spans="1:10" x14ac:dyDescent="0.25">
      <c r="A1117">
        <v>43</v>
      </c>
      <c r="B1117" t="s">
        <v>548</v>
      </c>
      <c r="C1117" t="s">
        <v>19</v>
      </c>
      <c r="D1117">
        <v>10</v>
      </c>
      <c r="E1117" t="s">
        <v>534</v>
      </c>
      <c r="F1117" t="s">
        <v>23</v>
      </c>
      <c r="G1117">
        <v>49</v>
      </c>
      <c r="H1117">
        <v>317</v>
      </c>
      <c r="I1117">
        <v>98.5</v>
      </c>
      <c r="J1117" t="s">
        <v>549</v>
      </c>
    </row>
    <row r="1118" spans="1:10" x14ac:dyDescent="0.25">
      <c r="A1118">
        <v>43</v>
      </c>
      <c r="B1118" t="s">
        <v>548</v>
      </c>
      <c r="C1118" t="s">
        <v>19</v>
      </c>
      <c r="D1118">
        <v>27</v>
      </c>
      <c r="E1118" t="s">
        <v>526</v>
      </c>
      <c r="F1118" t="s">
        <v>25</v>
      </c>
      <c r="G1118">
        <v>29</v>
      </c>
      <c r="H1118">
        <v>385</v>
      </c>
      <c r="I1118">
        <v>48</v>
      </c>
      <c r="J1118" t="s">
        <v>549</v>
      </c>
    </row>
    <row r="1119" spans="1:10" x14ac:dyDescent="0.25">
      <c r="A1119">
        <v>43</v>
      </c>
      <c r="B1119" t="s">
        <v>548</v>
      </c>
      <c r="C1119" t="s">
        <v>19</v>
      </c>
      <c r="D1119">
        <v>28</v>
      </c>
      <c r="E1119" t="s">
        <v>477</v>
      </c>
      <c r="F1119" t="s">
        <v>25</v>
      </c>
      <c r="G1119">
        <v>4</v>
      </c>
      <c r="H1119">
        <v>35</v>
      </c>
      <c r="I1119">
        <v>72.8</v>
      </c>
      <c r="J1119" t="s">
        <v>549</v>
      </c>
    </row>
    <row r="1120" spans="1:10" x14ac:dyDescent="0.25">
      <c r="A1120">
        <v>43</v>
      </c>
      <c r="B1120" t="s">
        <v>548</v>
      </c>
      <c r="C1120" t="s">
        <v>19</v>
      </c>
      <c r="D1120">
        <v>29</v>
      </c>
      <c r="E1120" t="s">
        <v>472</v>
      </c>
      <c r="F1120" t="s">
        <v>23</v>
      </c>
      <c r="G1120">
        <v>9</v>
      </c>
      <c r="H1120">
        <v>59</v>
      </c>
      <c r="I1120">
        <v>97.2</v>
      </c>
      <c r="J1120" t="s">
        <v>549</v>
      </c>
    </row>
    <row r="1121" spans="1:10" x14ac:dyDescent="0.25">
      <c r="A1121">
        <v>42</v>
      </c>
      <c r="B1121" t="s">
        <v>512</v>
      </c>
      <c r="C1121" t="s">
        <v>26</v>
      </c>
      <c r="D1121">
        <v>29</v>
      </c>
      <c r="E1121" t="s">
        <v>472</v>
      </c>
      <c r="F1121" t="s">
        <v>23</v>
      </c>
      <c r="G1121">
        <v>35</v>
      </c>
      <c r="H1121">
        <v>153</v>
      </c>
      <c r="I1121">
        <v>145.69999999999999</v>
      </c>
      <c r="J1121" t="s">
        <v>549</v>
      </c>
    </row>
    <row r="1122" spans="1:10" x14ac:dyDescent="0.25">
      <c r="A1122">
        <v>42</v>
      </c>
      <c r="B1122" t="s">
        <v>512</v>
      </c>
      <c r="C1122" t="s">
        <v>26</v>
      </c>
      <c r="D1122">
        <v>34</v>
      </c>
      <c r="E1122" t="s">
        <v>467</v>
      </c>
      <c r="F1122" t="s">
        <v>17</v>
      </c>
      <c r="G1122">
        <v>34</v>
      </c>
      <c r="H1122">
        <v>205</v>
      </c>
      <c r="I1122">
        <v>105.6</v>
      </c>
      <c r="J1122" t="s">
        <v>549</v>
      </c>
    </row>
    <row r="1123" spans="1:10" x14ac:dyDescent="0.25">
      <c r="A1123">
        <v>42</v>
      </c>
      <c r="B1123" t="s">
        <v>512</v>
      </c>
      <c r="C1123" t="s">
        <v>26</v>
      </c>
      <c r="D1123">
        <v>35</v>
      </c>
      <c r="E1123" t="s">
        <v>539</v>
      </c>
      <c r="F1123" t="s">
        <v>14</v>
      </c>
      <c r="G1123">
        <v>13</v>
      </c>
      <c r="H1123">
        <v>72</v>
      </c>
      <c r="I1123">
        <v>115</v>
      </c>
      <c r="J1123" t="s">
        <v>549</v>
      </c>
    </row>
    <row r="1124" spans="1:10" x14ac:dyDescent="0.25">
      <c r="A1124">
        <v>43</v>
      </c>
      <c r="B1124" t="s">
        <v>548</v>
      </c>
      <c r="C1124" t="s">
        <v>19</v>
      </c>
      <c r="D1124">
        <v>32</v>
      </c>
      <c r="E1124" t="s">
        <v>507</v>
      </c>
      <c r="F1124" t="s">
        <v>28</v>
      </c>
      <c r="G1124">
        <v>38</v>
      </c>
      <c r="H1124">
        <v>151</v>
      </c>
      <c r="I1124">
        <v>160.30000000000001</v>
      </c>
      <c r="J1124" t="s">
        <v>549</v>
      </c>
    </row>
    <row r="1125" spans="1:10" x14ac:dyDescent="0.25">
      <c r="A1125">
        <v>44</v>
      </c>
      <c r="B1125" t="s">
        <v>514</v>
      </c>
      <c r="C1125" t="s">
        <v>21</v>
      </c>
      <c r="D1125">
        <v>32</v>
      </c>
      <c r="E1125" t="s">
        <v>507</v>
      </c>
      <c r="F1125" t="s">
        <v>28</v>
      </c>
      <c r="G1125">
        <v>29</v>
      </c>
      <c r="H1125">
        <v>121</v>
      </c>
      <c r="I1125">
        <v>152.69999999999999</v>
      </c>
      <c r="J1125" t="s">
        <v>549</v>
      </c>
    </row>
    <row r="1126" spans="1:10" x14ac:dyDescent="0.25">
      <c r="A1126">
        <v>44</v>
      </c>
      <c r="B1126" t="s">
        <v>514</v>
      </c>
      <c r="C1126" t="s">
        <v>21</v>
      </c>
      <c r="D1126">
        <v>18</v>
      </c>
      <c r="E1126" t="s">
        <v>532</v>
      </c>
      <c r="F1126" t="s">
        <v>23</v>
      </c>
      <c r="G1126">
        <v>117</v>
      </c>
      <c r="H1126">
        <v>1537</v>
      </c>
      <c r="I1126">
        <v>48.5</v>
      </c>
      <c r="J1126" t="s">
        <v>549</v>
      </c>
    </row>
    <row r="1127" spans="1:10" x14ac:dyDescent="0.25">
      <c r="A1127">
        <v>45</v>
      </c>
      <c r="B1127" t="s">
        <v>515</v>
      </c>
      <c r="C1127" t="s">
        <v>26</v>
      </c>
      <c r="D1127">
        <v>19</v>
      </c>
      <c r="E1127" t="s">
        <v>522</v>
      </c>
      <c r="F1127" t="s">
        <v>25</v>
      </c>
      <c r="G1127">
        <v>75</v>
      </c>
      <c r="H1127">
        <v>900</v>
      </c>
      <c r="I1127">
        <v>53.1</v>
      </c>
      <c r="J1127" t="s">
        <v>549</v>
      </c>
    </row>
    <row r="1128" spans="1:10" x14ac:dyDescent="0.25">
      <c r="A1128">
        <v>45</v>
      </c>
      <c r="B1128" t="s">
        <v>515</v>
      </c>
      <c r="C1128" t="s">
        <v>26</v>
      </c>
      <c r="D1128">
        <v>11</v>
      </c>
      <c r="E1128" t="s">
        <v>469</v>
      </c>
      <c r="F1128" t="s">
        <v>25</v>
      </c>
      <c r="G1128">
        <v>10</v>
      </c>
      <c r="H1128">
        <v>158</v>
      </c>
      <c r="I1128">
        <v>40.299999999999997</v>
      </c>
      <c r="J1128" t="s">
        <v>549</v>
      </c>
    </row>
    <row r="1129" spans="1:10" x14ac:dyDescent="0.25">
      <c r="A1129">
        <v>45</v>
      </c>
      <c r="B1129" t="s">
        <v>515</v>
      </c>
      <c r="C1129" t="s">
        <v>26</v>
      </c>
      <c r="D1129">
        <v>12</v>
      </c>
      <c r="E1129" t="s">
        <v>475</v>
      </c>
      <c r="F1129" t="s">
        <v>28</v>
      </c>
      <c r="G1129">
        <v>8</v>
      </c>
      <c r="H1129">
        <v>67</v>
      </c>
      <c r="I1129">
        <v>76.099999999999994</v>
      </c>
      <c r="J1129" t="s">
        <v>549</v>
      </c>
    </row>
    <row r="1130" spans="1:10" x14ac:dyDescent="0.25">
      <c r="A1130">
        <v>45</v>
      </c>
      <c r="B1130" t="s">
        <v>515</v>
      </c>
      <c r="C1130" t="s">
        <v>26</v>
      </c>
      <c r="D1130">
        <v>13</v>
      </c>
      <c r="E1130" t="s">
        <v>481</v>
      </c>
      <c r="F1130" t="s">
        <v>17</v>
      </c>
      <c r="G1130">
        <v>15</v>
      </c>
      <c r="H1130">
        <v>174</v>
      </c>
      <c r="I1130">
        <v>54.9</v>
      </c>
      <c r="J1130" t="s">
        <v>549</v>
      </c>
    </row>
    <row r="1131" spans="1:10" x14ac:dyDescent="0.25">
      <c r="A1131">
        <v>45</v>
      </c>
      <c r="B1131" t="s">
        <v>515</v>
      </c>
      <c r="C1131" t="s">
        <v>26</v>
      </c>
      <c r="D1131">
        <v>26</v>
      </c>
      <c r="E1131" t="s">
        <v>519</v>
      </c>
      <c r="F1131" t="s">
        <v>25</v>
      </c>
      <c r="G1131">
        <v>14</v>
      </c>
      <c r="H1131">
        <v>171</v>
      </c>
      <c r="I1131">
        <v>52.2</v>
      </c>
      <c r="J1131" t="s">
        <v>549</v>
      </c>
    </row>
    <row r="1132" spans="1:10" x14ac:dyDescent="0.25">
      <c r="A1132">
        <v>45</v>
      </c>
      <c r="B1132" t="s">
        <v>515</v>
      </c>
      <c r="C1132" t="s">
        <v>26</v>
      </c>
      <c r="D1132">
        <v>33</v>
      </c>
      <c r="E1132" t="s">
        <v>490</v>
      </c>
      <c r="F1132" t="s">
        <v>23</v>
      </c>
      <c r="G1132">
        <v>7</v>
      </c>
      <c r="H1132">
        <v>32</v>
      </c>
      <c r="I1132">
        <v>139.30000000000001</v>
      </c>
      <c r="J1132" t="s">
        <v>549</v>
      </c>
    </row>
    <row r="1133" spans="1:10" x14ac:dyDescent="0.25">
      <c r="A1133">
        <v>47</v>
      </c>
      <c r="B1133" t="s">
        <v>546</v>
      </c>
      <c r="C1133" t="s">
        <v>26</v>
      </c>
      <c r="D1133">
        <v>13</v>
      </c>
      <c r="E1133" t="s">
        <v>481</v>
      </c>
      <c r="F1133" t="s">
        <v>17</v>
      </c>
      <c r="G1133">
        <v>15</v>
      </c>
      <c r="H1133">
        <v>251</v>
      </c>
      <c r="I1133">
        <v>38.1</v>
      </c>
      <c r="J1133" t="s">
        <v>549</v>
      </c>
    </row>
    <row r="1134" spans="1:10" x14ac:dyDescent="0.25">
      <c r="A1134">
        <v>47</v>
      </c>
      <c r="B1134" t="s">
        <v>546</v>
      </c>
      <c r="C1134" t="s">
        <v>26</v>
      </c>
      <c r="D1134">
        <v>3</v>
      </c>
      <c r="E1134" t="s">
        <v>493</v>
      </c>
      <c r="F1134" t="s">
        <v>25</v>
      </c>
      <c r="G1134">
        <v>74</v>
      </c>
      <c r="H1134">
        <v>785</v>
      </c>
      <c r="I1134">
        <v>60</v>
      </c>
      <c r="J1134" t="s">
        <v>549</v>
      </c>
    </row>
    <row r="1135" spans="1:10" x14ac:dyDescent="0.25">
      <c r="A1135">
        <v>46</v>
      </c>
      <c r="B1135" t="s">
        <v>547</v>
      </c>
      <c r="C1135" t="s">
        <v>19</v>
      </c>
      <c r="D1135">
        <v>34</v>
      </c>
      <c r="E1135" t="s">
        <v>467</v>
      </c>
      <c r="F1135" t="s">
        <v>17</v>
      </c>
      <c r="G1135">
        <v>24</v>
      </c>
      <c r="H1135">
        <v>254</v>
      </c>
      <c r="I1135">
        <v>60.2</v>
      </c>
      <c r="J1135" t="s">
        <v>549</v>
      </c>
    </row>
    <row r="1136" spans="1:10" x14ac:dyDescent="0.25">
      <c r="A1136">
        <v>46</v>
      </c>
      <c r="B1136" t="s">
        <v>547</v>
      </c>
      <c r="C1136" t="s">
        <v>19</v>
      </c>
      <c r="D1136">
        <v>32</v>
      </c>
      <c r="E1136" t="s">
        <v>507</v>
      </c>
      <c r="F1136" t="s">
        <v>28</v>
      </c>
      <c r="G1136">
        <v>8</v>
      </c>
      <c r="H1136">
        <v>107</v>
      </c>
      <c r="I1136">
        <v>47.6</v>
      </c>
      <c r="J1136" t="s">
        <v>549</v>
      </c>
    </row>
    <row r="1137" spans="1:10" x14ac:dyDescent="0.25">
      <c r="A1137">
        <v>46</v>
      </c>
      <c r="B1137" t="s">
        <v>547</v>
      </c>
      <c r="C1137" t="s">
        <v>19</v>
      </c>
      <c r="D1137">
        <v>27</v>
      </c>
      <c r="E1137" t="s">
        <v>526</v>
      </c>
      <c r="F1137" t="s">
        <v>25</v>
      </c>
      <c r="G1137">
        <v>25</v>
      </c>
      <c r="H1137">
        <v>445</v>
      </c>
      <c r="I1137">
        <v>35.799999999999997</v>
      </c>
      <c r="J1137" t="s">
        <v>549</v>
      </c>
    </row>
    <row r="1138" spans="1:10" x14ac:dyDescent="0.25">
      <c r="A1138">
        <v>46</v>
      </c>
      <c r="B1138" t="s">
        <v>547</v>
      </c>
      <c r="C1138" t="s">
        <v>19</v>
      </c>
      <c r="D1138">
        <v>23</v>
      </c>
      <c r="E1138" t="s">
        <v>506</v>
      </c>
      <c r="F1138" t="s">
        <v>23</v>
      </c>
      <c r="G1138">
        <v>23</v>
      </c>
      <c r="H1138">
        <v>220</v>
      </c>
      <c r="I1138">
        <v>66.599999999999994</v>
      </c>
      <c r="J1138" t="s">
        <v>549</v>
      </c>
    </row>
    <row r="1139" spans="1:10" x14ac:dyDescent="0.25">
      <c r="A1139">
        <v>46</v>
      </c>
      <c r="B1139" t="s">
        <v>547</v>
      </c>
      <c r="C1139" t="s">
        <v>19</v>
      </c>
      <c r="D1139">
        <v>19</v>
      </c>
      <c r="E1139" t="s">
        <v>522</v>
      </c>
      <c r="F1139" t="s">
        <v>25</v>
      </c>
      <c r="G1139">
        <v>58</v>
      </c>
      <c r="H1139">
        <v>594</v>
      </c>
      <c r="I1139">
        <v>62.2</v>
      </c>
      <c r="J1139" t="s">
        <v>549</v>
      </c>
    </row>
    <row r="1140" spans="1:10" x14ac:dyDescent="0.25">
      <c r="A1140">
        <v>46</v>
      </c>
      <c r="B1140" t="s">
        <v>547</v>
      </c>
      <c r="C1140" t="s">
        <v>19</v>
      </c>
      <c r="D1140">
        <v>17</v>
      </c>
      <c r="E1140" t="s">
        <v>531</v>
      </c>
      <c r="F1140" t="s">
        <v>25</v>
      </c>
      <c r="G1140">
        <v>40</v>
      </c>
      <c r="H1140">
        <v>351</v>
      </c>
      <c r="I1140">
        <v>72.599999999999994</v>
      </c>
      <c r="J1140" t="s">
        <v>549</v>
      </c>
    </row>
    <row r="1141" spans="1:10" x14ac:dyDescent="0.25">
      <c r="A1141">
        <v>46</v>
      </c>
      <c r="B1141" t="s">
        <v>547</v>
      </c>
      <c r="C1141" t="s">
        <v>19</v>
      </c>
      <c r="D1141">
        <v>8</v>
      </c>
      <c r="E1141" t="s">
        <v>529</v>
      </c>
      <c r="F1141" t="s">
        <v>14</v>
      </c>
      <c r="G1141">
        <v>74</v>
      </c>
      <c r="H1141">
        <v>744</v>
      </c>
      <c r="I1141">
        <v>63.4</v>
      </c>
      <c r="J1141" t="s">
        <v>549</v>
      </c>
    </row>
    <row r="1142" spans="1:10" x14ac:dyDescent="0.25">
      <c r="A1142">
        <v>46</v>
      </c>
      <c r="B1142" t="s">
        <v>547</v>
      </c>
      <c r="C1142" t="s">
        <v>19</v>
      </c>
      <c r="D1142">
        <v>10</v>
      </c>
      <c r="E1142" t="s">
        <v>534</v>
      </c>
      <c r="F1142" t="s">
        <v>23</v>
      </c>
      <c r="G1142">
        <v>71</v>
      </c>
      <c r="H1142">
        <v>1142</v>
      </c>
      <c r="I1142">
        <v>39.6</v>
      </c>
      <c r="J1142" t="s">
        <v>549</v>
      </c>
    </row>
    <row r="1143" spans="1:10" x14ac:dyDescent="0.25">
      <c r="A1143">
        <v>48</v>
      </c>
      <c r="B1143" t="s">
        <v>516</v>
      </c>
      <c r="C1143" t="s">
        <v>26</v>
      </c>
      <c r="D1143">
        <v>19</v>
      </c>
      <c r="E1143" t="s">
        <v>522</v>
      </c>
      <c r="F1143" t="s">
        <v>25</v>
      </c>
      <c r="G1143">
        <v>59</v>
      </c>
      <c r="H1143">
        <v>1054</v>
      </c>
      <c r="I1143">
        <v>35.700000000000003</v>
      </c>
      <c r="J1143" t="s">
        <v>549</v>
      </c>
    </row>
    <row r="1144" spans="1:10" x14ac:dyDescent="0.25">
      <c r="A1144">
        <v>48</v>
      </c>
      <c r="B1144" t="s">
        <v>516</v>
      </c>
      <c r="C1144" t="s">
        <v>26</v>
      </c>
      <c r="D1144">
        <v>20</v>
      </c>
      <c r="E1144" t="s">
        <v>533</v>
      </c>
      <c r="F1144" t="s">
        <v>28</v>
      </c>
      <c r="G1144">
        <v>10</v>
      </c>
      <c r="H1144">
        <v>101</v>
      </c>
      <c r="I1144">
        <v>63.1</v>
      </c>
      <c r="J1144" t="s">
        <v>549</v>
      </c>
    </row>
    <row r="1145" spans="1:10" x14ac:dyDescent="0.25">
      <c r="A1145">
        <v>48</v>
      </c>
      <c r="B1145" t="s">
        <v>516</v>
      </c>
      <c r="C1145" t="s">
        <v>26</v>
      </c>
      <c r="D1145">
        <v>21</v>
      </c>
      <c r="E1145" t="s">
        <v>476</v>
      </c>
      <c r="F1145" t="s">
        <v>28</v>
      </c>
      <c r="G1145">
        <v>8</v>
      </c>
      <c r="H1145">
        <v>111</v>
      </c>
      <c r="I1145">
        <v>45.9</v>
      </c>
      <c r="J1145" t="s">
        <v>549</v>
      </c>
    </row>
    <row r="1146" spans="1:10" x14ac:dyDescent="0.25">
      <c r="A1146">
        <v>48</v>
      </c>
      <c r="B1146" t="s">
        <v>516</v>
      </c>
      <c r="C1146" t="s">
        <v>26</v>
      </c>
      <c r="D1146">
        <v>10</v>
      </c>
      <c r="E1146" t="s">
        <v>534</v>
      </c>
      <c r="F1146" t="s">
        <v>23</v>
      </c>
      <c r="G1146">
        <v>52</v>
      </c>
      <c r="H1146">
        <v>418</v>
      </c>
      <c r="I1146">
        <v>79.2</v>
      </c>
      <c r="J1146" t="s">
        <v>549</v>
      </c>
    </row>
    <row r="1147" spans="1:10" x14ac:dyDescent="0.25">
      <c r="A1147">
        <v>48</v>
      </c>
      <c r="B1147" t="s">
        <v>516</v>
      </c>
      <c r="C1147" t="s">
        <v>26</v>
      </c>
      <c r="D1147">
        <v>11</v>
      </c>
      <c r="E1147" t="s">
        <v>469</v>
      </c>
      <c r="F1147" t="s">
        <v>25</v>
      </c>
      <c r="G1147">
        <v>6</v>
      </c>
      <c r="H1147">
        <v>102</v>
      </c>
      <c r="I1147">
        <v>37.5</v>
      </c>
      <c r="J1147" t="s">
        <v>549</v>
      </c>
    </row>
    <row r="1148" spans="1:10" x14ac:dyDescent="0.25">
      <c r="A1148">
        <v>47</v>
      </c>
      <c r="B1148" t="s">
        <v>546</v>
      </c>
      <c r="C1148" t="s">
        <v>26</v>
      </c>
      <c r="D1148">
        <v>33</v>
      </c>
      <c r="E1148" t="s">
        <v>490</v>
      </c>
      <c r="F1148" t="s">
        <v>23</v>
      </c>
      <c r="G1148">
        <v>13</v>
      </c>
      <c r="H1148">
        <v>179</v>
      </c>
      <c r="I1148">
        <v>46.3</v>
      </c>
      <c r="J1148" t="s">
        <v>549</v>
      </c>
    </row>
    <row r="1149" spans="1:10" x14ac:dyDescent="0.25">
      <c r="A1149">
        <v>48</v>
      </c>
      <c r="B1149" t="s">
        <v>516</v>
      </c>
      <c r="C1149" t="s">
        <v>26</v>
      </c>
      <c r="D1149">
        <v>8</v>
      </c>
      <c r="E1149" t="s">
        <v>529</v>
      </c>
      <c r="F1149" t="s">
        <v>14</v>
      </c>
      <c r="G1149">
        <v>100</v>
      </c>
      <c r="H1149">
        <v>1148</v>
      </c>
      <c r="I1149">
        <v>55.5</v>
      </c>
      <c r="J1149" t="s">
        <v>549</v>
      </c>
    </row>
    <row r="1150" spans="1:10" x14ac:dyDescent="0.25">
      <c r="A1150">
        <v>48</v>
      </c>
      <c r="B1150" t="s">
        <v>516</v>
      </c>
      <c r="C1150" t="s">
        <v>26</v>
      </c>
      <c r="D1150">
        <v>3</v>
      </c>
      <c r="E1150" t="s">
        <v>493</v>
      </c>
      <c r="F1150" t="s">
        <v>25</v>
      </c>
      <c r="G1150">
        <v>35</v>
      </c>
      <c r="H1150">
        <v>578</v>
      </c>
      <c r="I1150">
        <v>38.6</v>
      </c>
      <c r="J1150" t="s">
        <v>549</v>
      </c>
    </row>
    <row r="1151" spans="1:10" x14ac:dyDescent="0.25">
      <c r="A1151">
        <v>48</v>
      </c>
      <c r="B1151" t="s">
        <v>516</v>
      </c>
      <c r="C1151" t="s">
        <v>26</v>
      </c>
      <c r="D1151">
        <v>4</v>
      </c>
      <c r="E1151" t="s">
        <v>504</v>
      </c>
      <c r="F1151" t="s">
        <v>14</v>
      </c>
      <c r="G1151">
        <v>15</v>
      </c>
      <c r="H1151">
        <v>151</v>
      </c>
      <c r="I1151">
        <v>63.3</v>
      </c>
      <c r="J1151" t="s">
        <v>549</v>
      </c>
    </row>
    <row r="1152" spans="1:10" x14ac:dyDescent="0.25">
      <c r="A1152">
        <v>47</v>
      </c>
      <c r="B1152" t="s">
        <v>546</v>
      </c>
      <c r="C1152" t="s">
        <v>26</v>
      </c>
      <c r="D1152">
        <v>29</v>
      </c>
      <c r="E1152" t="s">
        <v>472</v>
      </c>
      <c r="F1152" t="s">
        <v>23</v>
      </c>
      <c r="G1152">
        <v>10</v>
      </c>
      <c r="H1152">
        <v>177</v>
      </c>
      <c r="I1152">
        <v>36</v>
      </c>
      <c r="J1152" t="s">
        <v>549</v>
      </c>
    </row>
    <row r="1153" spans="1:10" x14ac:dyDescent="0.25">
      <c r="A1153">
        <v>47</v>
      </c>
      <c r="B1153" t="s">
        <v>546</v>
      </c>
      <c r="C1153" t="s">
        <v>26</v>
      </c>
      <c r="D1153">
        <v>30</v>
      </c>
      <c r="E1153" t="s">
        <v>530</v>
      </c>
      <c r="F1153" t="s">
        <v>14</v>
      </c>
      <c r="G1153">
        <v>36</v>
      </c>
      <c r="H1153">
        <v>500</v>
      </c>
      <c r="I1153">
        <v>45.9</v>
      </c>
      <c r="J1153" t="s">
        <v>549</v>
      </c>
    </row>
    <row r="1154" spans="1:10" x14ac:dyDescent="0.25">
      <c r="A1154">
        <v>47</v>
      </c>
      <c r="B1154" t="s">
        <v>546</v>
      </c>
      <c r="C1154" t="s">
        <v>26</v>
      </c>
      <c r="D1154">
        <v>8</v>
      </c>
      <c r="E1154" t="s">
        <v>529</v>
      </c>
      <c r="F1154" t="s">
        <v>14</v>
      </c>
      <c r="G1154">
        <v>70</v>
      </c>
      <c r="H1154">
        <v>817</v>
      </c>
      <c r="I1154">
        <v>54.6</v>
      </c>
      <c r="J1154" t="s">
        <v>549</v>
      </c>
    </row>
    <row r="1155" spans="1:10" x14ac:dyDescent="0.25">
      <c r="A1155">
        <v>47</v>
      </c>
      <c r="B1155" t="s">
        <v>546</v>
      </c>
      <c r="C1155" t="s">
        <v>26</v>
      </c>
      <c r="D1155">
        <v>26</v>
      </c>
      <c r="E1155" t="s">
        <v>519</v>
      </c>
      <c r="F1155" t="s">
        <v>25</v>
      </c>
      <c r="G1155">
        <v>23</v>
      </c>
      <c r="H1155">
        <v>162</v>
      </c>
      <c r="I1155">
        <v>90.4</v>
      </c>
      <c r="J1155" t="s">
        <v>549</v>
      </c>
    </row>
    <row r="1156" spans="1:10" x14ac:dyDescent="0.25">
      <c r="A1156">
        <v>47</v>
      </c>
      <c r="B1156" t="s">
        <v>546</v>
      </c>
      <c r="C1156" t="s">
        <v>26</v>
      </c>
      <c r="D1156">
        <v>27</v>
      </c>
      <c r="E1156" t="s">
        <v>526</v>
      </c>
      <c r="F1156" t="s">
        <v>25</v>
      </c>
      <c r="G1156">
        <v>36</v>
      </c>
      <c r="H1156">
        <v>399</v>
      </c>
      <c r="I1156">
        <v>57.5</v>
      </c>
      <c r="J1156" t="s">
        <v>549</v>
      </c>
    </row>
    <row r="1157" spans="1:10" x14ac:dyDescent="0.25">
      <c r="A1157">
        <v>48</v>
      </c>
      <c r="B1157" t="s">
        <v>516</v>
      </c>
      <c r="C1157" t="s">
        <v>26</v>
      </c>
      <c r="D1157">
        <v>27</v>
      </c>
      <c r="E1157" t="s">
        <v>526</v>
      </c>
      <c r="F1157" t="s">
        <v>25</v>
      </c>
      <c r="G1157">
        <v>17</v>
      </c>
      <c r="H1157">
        <v>208</v>
      </c>
      <c r="I1157">
        <v>52.1</v>
      </c>
      <c r="J1157" t="s">
        <v>549</v>
      </c>
    </row>
    <row r="1158" spans="1:10" x14ac:dyDescent="0.25">
      <c r="A1158">
        <v>48</v>
      </c>
      <c r="B1158" t="s">
        <v>516</v>
      </c>
      <c r="C1158" t="s">
        <v>26</v>
      </c>
      <c r="D1158">
        <v>24</v>
      </c>
      <c r="E1158" t="s">
        <v>524</v>
      </c>
      <c r="F1158" t="s">
        <v>28</v>
      </c>
      <c r="G1158">
        <v>40</v>
      </c>
      <c r="H1158">
        <v>320</v>
      </c>
      <c r="I1158">
        <v>79.599999999999994</v>
      </c>
      <c r="J1158" t="s">
        <v>549</v>
      </c>
    </row>
    <row r="1159" spans="1:10" x14ac:dyDescent="0.25">
      <c r="A1159">
        <v>48</v>
      </c>
      <c r="B1159" t="s">
        <v>516</v>
      </c>
      <c r="C1159" t="s">
        <v>26</v>
      </c>
      <c r="D1159">
        <v>13</v>
      </c>
      <c r="E1159" t="s">
        <v>481</v>
      </c>
      <c r="F1159" t="s">
        <v>17</v>
      </c>
      <c r="G1159">
        <v>56</v>
      </c>
      <c r="H1159">
        <v>319</v>
      </c>
      <c r="I1159">
        <v>111.8</v>
      </c>
      <c r="J1159" t="s">
        <v>549</v>
      </c>
    </row>
    <row r="1160" spans="1:10" x14ac:dyDescent="0.25">
      <c r="A1160">
        <v>47</v>
      </c>
      <c r="B1160" t="s">
        <v>546</v>
      </c>
      <c r="C1160" t="s">
        <v>26</v>
      </c>
      <c r="D1160">
        <v>23</v>
      </c>
      <c r="E1160" t="s">
        <v>506</v>
      </c>
      <c r="F1160" t="s">
        <v>23</v>
      </c>
      <c r="G1160">
        <v>29</v>
      </c>
      <c r="H1160">
        <v>252</v>
      </c>
      <c r="I1160">
        <v>73.3</v>
      </c>
      <c r="J1160" t="s">
        <v>549</v>
      </c>
    </row>
    <row r="1161" spans="1:10" x14ac:dyDescent="0.25">
      <c r="A1161">
        <v>48</v>
      </c>
      <c r="B1161" t="s">
        <v>516</v>
      </c>
      <c r="C1161" t="s">
        <v>26</v>
      </c>
      <c r="D1161">
        <v>30</v>
      </c>
      <c r="E1161" t="s">
        <v>530</v>
      </c>
      <c r="F1161" t="s">
        <v>14</v>
      </c>
      <c r="G1161">
        <v>49</v>
      </c>
      <c r="H1161">
        <v>689</v>
      </c>
      <c r="I1161">
        <v>45.3</v>
      </c>
      <c r="J1161" t="s">
        <v>549</v>
      </c>
    </row>
    <row r="1162" spans="1:10" x14ac:dyDescent="0.25">
      <c r="A1162">
        <v>48</v>
      </c>
      <c r="B1162" t="s">
        <v>516</v>
      </c>
      <c r="C1162" t="s">
        <v>26</v>
      </c>
      <c r="D1162">
        <v>34</v>
      </c>
      <c r="E1162" t="s">
        <v>467</v>
      </c>
      <c r="F1162" t="s">
        <v>17</v>
      </c>
      <c r="G1162">
        <v>39</v>
      </c>
      <c r="H1162">
        <v>268</v>
      </c>
      <c r="I1162">
        <v>92.7</v>
      </c>
      <c r="J1162" t="s">
        <v>549</v>
      </c>
    </row>
    <row r="1163" spans="1:10" x14ac:dyDescent="0.25">
      <c r="A1163">
        <v>49</v>
      </c>
      <c r="B1163" t="s">
        <v>517</v>
      </c>
      <c r="C1163" t="s">
        <v>19</v>
      </c>
      <c r="D1163">
        <v>10</v>
      </c>
      <c r="E1163" t="s">
        <v>534</v>
      </c>
      <c r="F1163" t="s">
        <v>23</v>
      </c>
      <c r="G1163">
        <v>36</v>
      </c>
      <c r="H1163">
        <v>387</v>
      </c>
      <c r="I1163">
        <v>59.3</v>
      </c>
      <c r="J1163" t="s">
        <v>549</v>
      </c>
    </row>
    <row r="1164" spans="1:10" x14ac:dyDescent="0.25">
      <c r="A1164">
        <v>49</v>
      </c>
      <c r="B1164" t="s">
        <v>517</v>
      </c>
      <c r="C1164" t="s">
        <v>19</v>
      </c>
      <c r="D1164">
        <v>8</v>
      </c>
      <c r="E1164" t="s">
        <v>529</v>
      </c>
      <c r="F1164" t="s">
        <v>14</v>
      </c>
      <c r="G1164">
        <v>77</v>
      </c>
      <c r="H1164">
        <v>785</v>
      </c>
      <c r="I1164">
        <v>62.5</v>
      </c>
      <c r="J1164" t="s">
        <v>549</v>
      </c>
    </row>
    <row r="1165" spans="1:10" x14ac:dyDescent="0.25">
      <c r="A1165">
        <v>49</v>
      </c>
      <c r="B1165" t="s">
        <v>517</v>
      </c>
      <c r="C1165" t="s">
        <v>19</v>
      </c>
      <c r="D1165">
        <v>4</v>
      </c>
      <c r="E1165" t="s">
        <v>504</v>
      </c>
      <c r="F1165" t="s">
        <v>14</v>
      </c>
      <c r="G1165">
        <v>19</v>
      </c>
      <c r="H1165">
        <v>129</v>
      </c>
      <c r="I1165">
        <v>93.8</v>
      </c>
      <c r="J1165" t="s">
        <v>549</v>
      </c>
    </row>
    <row r="1166" spans="1:10" x14ac:dyDescent="0.25">
      <c r="A1166">
        <v>49</v>
      </c>
      <c r="B1166" t="s">
        <v>517</v>
      </c>
      <c r="C1166" t="s">
        <v>19</v>
      </c>
      <c r="D1166">
        <v>5</v>
      </c>
      <c r="E1166" t="s">
        <v>464</v>
      </c>
      <c r="F1166" t="s">
        <v>14</v>
      </c>
      <c r="G1166">
        <v>13</v>
      </c>
      <c r="H1166">
        <v>79</v>
      </c>
      <c r="I1166">
        <v>104.8</v>
      </c>
      <c r="J1166" t="s">
        <v>549</v>
      </c>
    </row>
    <row r="1167" spans="1:10" x14ac:dyDescent="0.25">
      <c r="A1167">
        <v>49</v>
      </c>
      <c r="B1167" t="s">
        <v>517</v>
      </c>
      <c r="C1167" t="s">
        <v>19</v>
      </c>
      <c r="D1167">
        <v>20</v>
      </c>
      <c r="E1167" t="s">
        <v>533</v>
      </c>
      <c r="F1167" t="s">
        <v>28</v>
      </c>
      <c r="G1167">
        <v>13</v>
      </c>
      <c r="H1167">
        <v>104</v>
      </c>
      <c r="I1167">
        <v>79.599999999999994</v>
      </c>
      <c r="J1167" t="s">
        <v>549</v>
      </c>
    </row>
    <row r="1168" spans="1:10" x14ac:dyDescent="0.25">
      <c r="A1168">
        <v>49</v>
      </c>
      <c r="B1168" t="s">
        <v>517</v>
      </c>
      <c r="C1168" t="s">
        <v>19</v>
      </c>
      <c r="D1168">
        <v>21</v>
      </c>
      <c r="E1168" t="s">
        <v>476</v>
      </c>
      <c r="F1168" t="s">
        <v>28</v>
      </c>
      <c r="G1168">
        <v>37</v>
      </c>
      <c r="H1168">
        <v>401</v>
      </c>
      <c r="I1168">
        <v>58.8</v>
      </c>
      <c r="J1168" t="s">
        <v>549</v>
      </c>
    </row>
    <row r="1169" spans="1:10" x14ac:dyDescent="0.25">
      <c r="A1169">
        <v>49</v>
      </c>
      <c r="B1169" t="s">
        <v>517</v>
      </c>
      <c r="C1169" t="s">
        <v>19</v>
      </c>
      <c r="D1169">
        <v>22</v>
      </c>
      <c r="E1169" t="s">
        <v>536</v>
      </c>
      <c r="F1169" t="s">
        <v>14</v>
      </c>
      <c r="G1169">
        <v>8</v>
      </c>
      <c r="H1169">
        <v>110</v>
      </c>
      <c r="I1169">
        <v>46.3</v>
      </c>
      <c r="J1169" t="s">
        <v>549</v>
      </c>
    </row>
    <row r="1170" spans="1:10" x14ac:dyDescent="0.25">
      <c r="A1170">
        <v>49</v>
      </c>
      <c r="B1170" t="s">
        <v>517</v>
      </c>
      <c r="C1170" t="s">
        <v>19</v>
      </c>
      <c r="D1170">
        <v>23</v>
      </c>
      <c r="E1170" t="s">
        <v>506</v>
      </c>
      <c r="F1170" t="s">
        <v>23</v>
      </c>
      <c r="G1170">
        <v>18</v>
      </c>
      <c r="H1170">
        <v>157</v>
      </c>
      <c r="I1170">
        <v>73</v>
      </c>
      <c r="J1170" t="s">
        <v>549</v>
      </c>
    </row>
    <row r="1171" spans="1:10" x14ac:dyDescent="0.25">
      <c r="A1171">
        <v>50</v>
      </c>
      <c r="B1171" t="s">
        <v>518</v>
      </c>
      <c r="C1171" t="s">
        <v>21</v>
      </c>
      <c r="D1171">
        <v>2</v>
      </c>
      <c r="E1171" t="s">
        <v>462</v>
      </c>
      <c r="F1171" t="s">
        <v>23</v>
      </c>
      <c r="G1171">
        <v>49</v>
      </c>
      <c r="H1171">
        <v>628</v>
      </c>
      <c r="I1171">
        <v>49.7</v>
      </c>
      <c r="J1171" t="s">
        <v>549</v>
      </c>
    </row>
    <row r="1172" spans="1:10" x14ac:dyDescent="0.25">
      <c r="A1172">
        <v>49</v>
      </c>
      <c r="B1172" t="s">
        <v>517</v>
      </c>
      <c r="C1172" t="s">
        <v>19</v>
      </c>
      <c r="D1172">
        <v>35</v>
      </c>
      <c r="E1172" t="s">
        <v>539</v>
      </c>
      <c r="F1172" t="s">
        <v>14</v>
      </c>
      <c r="G1172">
        <v>19</v>
      </c>
      <c r="H1172">
        <v>122</v>
      </c>
      <c r="I1172">
        <v>99.2</v>
      </c>
      <c r="J1172" t="s">
        <v>549</v>
      </c>
    </row>
    <row r="1173" spans="1:10" x14ac:dyDescent="0.25">
      <c r="A1173">
        <v>49</v>
      </c>
      <c r="B1173" t="s">
        <v>517</v>
      </c>
      <c r="C1173" t="s">
        <v>19</v>
      </c>
      <c r="D1173">
        <v>32</v>
      </c>
      <c r="E1173" t="s">
        <v>507</v>
      </c>
      <c r="F1173" t="s">
        <v>28</v>
      </c>
      <c r="G1173">
        <v>11</v>
      </c>
      <c r="H1173">
        <v>103</v>
      </c>
      <c r="I1173">
        <v>68</v>
      </c>
      <c r="J1173" t="s">
        <v>549</v>
      </c>
    </row>
    <row r="1174" spans="1:10" x14ac:dyDescent="0.25">
      <c r="A1174">
        <v>49</v>
      </c>
      <c r="B1174" t="s">
        <v>517</v>
      </c>
      <c r="C1174" t="s">
        <v>19</v>
      </c>
      <c r="D1174">
        <v>33</v>
      </c>
      <c r="E1174" t="s">
        <v>490</v>
      </c>
      <c r="F1174" t="s">
        <v>23</v>
      </c>
      <c r="G1174">
        <v>15</v>
      </c>
      <c r="H1174">
        <v>92</v>
      </c>
      <c r="I1174">
        <v>103.9</v>
      </c>
      <c r="J1174" t="s">
        <v>549</v>
      </c>
    </row>
    <row r="1175" spans="1:10" x14ac:dyDescent="0.25">
      <c r="A1175">
        <v>49</v>
      </c>
      <c r="B1175" t="s">
        <v>517</v>
      </c>
      <c r="C1175" t="s">
        <v>19</v>
      </c>
      <c r="D1175">
        <v>26</v>
      </c>
      <c r="E1175" t="s">
        <v>519</v>
      </c>
      <c r="F1175" t="s">
        <v>25</v>
      </c>
      <c r="G1175">
        <v>19</v>
      </c>
      <c r="H1175">
        <v>139</v>
      </c>
      <c r="I1175">
        <v>87.1</v>
      </c>
      <c r="J1175" t="s">
        <v>549</v>
      </c>
    </row>
    <row r="1176" spans="1:10" x14ac:dyDescent="0.25">
      <c r="A1176">
        <v>49</v>
      </c>
      <c r="B1176" t="s">
        <v>517</v>
      </c>
      <c r="C1176" t="s">
        <v>19</v>
      </c>
      <c r="D1176">
        <v>27</v>
      </c>
      <c r="E1176" t="s">
        <v>526</v>
      </c>
      <c r="F1176" t="s">
        <v>25</v>
      </c>
      <c r="G1176">
        <v>32</v>
      </c>
      <c r="H1176">
        <v>435</v>
      </c>
      <c r="I1176">
        <v>46.9</v>
      </c>
      <c r="J1176" t="s">
        <v>549</v>
      </c>
    </row>
    <row r="1177" spans="1:10" x14ac:dyDescent="0.25">
      <c r="A1177">
        <v>49</v>
      </c>
      <c r="B1177" t="s">
        <v>517</v>
      </c>
      <c r="C1177" t="s">
        <v>19</v>
      </c>
      <c r="D1177">
        <v>28</v>
      </c>
      <c r="E1177" t="s">
        <v>477</v>
      </c>
      <c r="F1177" t="s">
        <v>25</v>
      </c>
      <c r="G1177">
        <v>10</v>
      </c>
      <c r="H1177">
        <v>84</v>
      </c>
      <c r="I1177">
        <v>75.8</v>
      </c>
      <c r="J1177" t="s">
        <v>549</v>
      </c>
    </row>
    <row r="1178" spans="1:10" x14ac:dyDescent="0.25">
      <c r="A1178">
        <v>49</v>
      </c>
      <c r="B1178" t="s">
        <v>517</v>
      </c>
      <c r="C1178" t="s">
        <v>19</v>
      </c>
      <c r="D1178">
        <v>29</v>
      </c>
      <c r="E1178" t="s">
        <v>472</v>
      </c>
      <c r="F1178" t="s">
        <v>23</v>
      </c>
      <c r="G1178">
        <v>12</v>
      </c>
      <c r="H1178">
        <v>134</v>
      </c>
      <c r="I1178">
        <v>57</v>
      </c>
      <c r="J1178" t="s">
        <v>549</v>
      </c>
    </row>
    <row r="1179" spans="1:10" x14ac:dyDescent="0.25">
      <c r="A1179">
        <v>49</v>
      </c>
      <c r="B1179" t="s">
        <v>517</v>
      </c>
      <c r="C1179" t="s">
        <v>19</v>
      </c>
      <c r="D1179">
        <v>14</v>
      </c>
      <c r="E1179" t="s">
        <v>482</v>
      </c>
      <c r="F1179" t="s">
        <v>14</v>
      </c>
      <c r="G1179">
        <v>37</v>
      </c>
      <c r="H1179">
        <v>552</v>
      </c>
      <c r="I1179">
        <v>42.7</v>
      </c>
      <c r="J1179" t="s">
        <v>549</v>
      </c>
    </row>
    <row r="1180" spans="1:10" x14ac:dyDescent="0.25">
      <c r="A1180">
        <v>49</v>
      </c>
      <c r="B1180" t="s">
        <v>517</v>
      </c>
      <c r="C1180" t="s">
        <v>19</v>
      </c>
      <c r="D1180">
        <v>12</v>
      </c>
      <c r="E1180" t="s">
        <v>475</v>
      </c>
      <c r="F1180" t="s">
        <v>28</v>
      </c>
      <c r="G1180">
        <v>14</v>
      </c>
      <c r="H1180">
        <v>106</v>
      </c>
      <c r="I1180">
        <v>84.1</v>
      </c>
      <c r="J1180" t="s">
        <v>549</v>
      </c>
    </row>
    <row r="1181" spans="1:10" x14ac:dyDescent="0.25">
      <c r="A1181">
        <v>50</v>
      </c>
      <c r="B1181" t="s">
        <v>518</v>
      </c>
      <c r="C1181" t="s">
        <v>21</v>
      </c>
      <c r="D1181">
        <v>26</v>
      </c>
      <c r="E1181" t="s">
        <v>519</v>
      </c>
      <c r="F1181" t="s">
        <v>25</v>
      </c>
      <c r="G1181">
        <v>9</v>
      </c>
      <c r="H1181">
        <v>67</v>
      </c>
      <c r="I1181">
        <v>85.6</v>
      </c>
      <c r="J1181" t="s">
        <v>549</v>
      </c>
    </row>
    <row r="1182" spans="1:10" x14ac:dyDescent="0.25">
      <c r="A1182">
        <v>50</v>
      </c>
      <c r="B1182" t="s">
        <v>518</v>
      </c>
      <c r="C1182" t="s">
        <v>21</v>
      </c>
      <c r="D1182">
        <v>23</v>
      </c>
      <c r="E1182" t="s">
        <v>506</v>
      </c>
      <c r="F1182" t="s">
        <v>23</v>
      </c>
      <c r="G1182">
        <v>23</v>
      </c>
      <c r="H1182">
        <v>377</v>
      </c>
      <c r="I1182">
        <v>38.9</v>
      </c>
      <c r="J1182" t="s">
        <v>549</v>
      </c>
    </row>
    <row r="1183" spans="1:10" x14ac:dyDescent="0.25">
      <c r="A1183">
        <v>50</v>
      </c>
      <c r="B1183" t="s">
        <v>518</v>
      </c>
      <c r="C1183" t="s">
        <v>21</v>
      </c>
      <c r="D1183">
        <v>20</v>
      </c>
      <c r="E1183" t="s">
        <v>533</v>
      </c>
      <c r="F1183" t="s">
        <v>28</v>
      </c>
      <c r="G1183">
        <v>17</v>
      </c>
      <c r="H1183">
        <v>114</v>
      </c>
      <c r="I1183">
        <v>95</v>
      </c>
      <c r="J1183" t="s">
        <v>549</v>
      </c>
    </row>
    <row r="1184" spans="1:10" x14ac:dyDescent="0.25">
      <c r="A1184">
        <v>50</v>
      </c>
      <c r="B1184" t="s">
        <v>518</v>
      </c>
      <c r="C1184" t="s">
        <v>21</v>
      </c>
      <c r="D1184">
        <v>21</v>
      </c>
      <c r="E1184" t="s">
        <v>476</v>
      </c>
      <c r="F1184" t="s">
        <v>28</v>
      </c>
      <c r="G1184">
        <v>36</v>
      </c>
      <c r="H1184">
        <v>235</v>
      </c>
      <c r="I1184">
        <v>97.6</v>
      </c>
      <c r="J1184" t="s">
        <v>549</v>
      </c>
    </row>
    <row r="1185" spans="1:10" x14ac:dyDescent="0.25">
      <c r="A1185">
        <v>50</v>
      </c>
      <c r="B1185" t="s">
        <v>518</v>
      </c>
      <c r="C1185" t="s">
        <v>21</v>
      </c>
      <c r="D1185">
        <v>10</v>
      </c>
      <c r="E1185" t="s">
        <v>534</v>
      </c>
      <c r="F1185" t="s">
        <v>23</v>
      </c>
      <c r="G1185">
        <v>34</v>
      </c>
      <c r="H1185">
        <v>443</v>
      </c>
      <c r="I1185">
        <v>48.9</v>
      </c>
      <c r="J1185" t="s">
        <v>549</v>
      </c>
    </row>
    <row r="1186" spans="1:10" x14ac:dyDescent="0.25">
      <c r="A1186">
        <v>50</v>
      </c>
      <c r="B1186" t="s">
        <v>518</v>
      </c>
      <c r="C1186" t="s">
        <v>21</v>
      </c>
      <c r="D1186">
        <v>11</v>
      </c>
      <c r="E1186" t="s">
        <v>469</v>
      </c>
      <c r="F1186" t="s">
        <v>25</v>
      </c>
      <c r="G1186">
        <v>20</v>
      </c>
      <c r="H1186">
        <v>259</v>
      </c>
      <c r="I1186">
        <v>49.2</v>
      </c>
      <c r="J1186" t="s">
        <v>549</v>
      </c>
    </row>
    <row r="1187" spans="1:10" x14ac:dyDescent="0.25">
      <c r="A1187">
        <v>50</v>
      </c>
      <c r="B1187" t="s">
        <v>518</v>
      </c>
      <c r="C1187" t="s">
        <v>21</v>
      </c>
      <c r="D1187">
        <v>4</v>
      </c>
      <c r="E1187" t="s">
        <v>504</v>
      </c>
      <c r="F1187" t="s">
        <v>14</v>
      </c>
      <c r="G1187">
        <v>16</v>
      </c>
      <c r="H1187">
        <v>210</v>
      </c>
      <c r="I1187">
        <v>48.5</v>
      </c>
      <c r="J1187" t="s">
        <v>549</v>
      </c>
    </row>
    <row r="1188" spans="1:10" x14ac:dyDescent="0.25">
      <c r="A1188">
        <v>50</v>
      </c>
      <c r="B1188" t="s">
        <v>518</v>
      </c>
      <c r="C1188" t="s">
        <v>21</v>
      </c>
      <c r="D1188">
        <v>13</v>
      </c>
      <c r="E1188" t="s">
        <v>481</v>
      </c>
      <c r="F1188" t="s">
        <v>17</v>
      </c>
      <c r="G1188">
        <v>15</v>
      </c>
      <c r="H1188">
        <v>208</v>
      </c>
      <c r="I1188">
        <v>45.9</v>
      </c>
      <c r="J1188" t="s">
        <v>549</v>
      </c>
    </row>
    <row r="1189" spans="1:10" x14ac:dyDescent="0.25">
      <c r="A1189">
        <v>50</v>
      </c>
      <c r="B1189" t="s">
        <v>518</v>
      </c>
      <c r="C1189" t="s">
        <v>21</v>
      </c>
      <c r="D1189">
        <v>14</v>
      </c>
      <c r="E1189" t="s">
        <v>482</v>
      </c>
      <c r="F1189" t="s">
        <v>14</v>
      </c>
      <c r="G1189">
        <v>32</v>
      </c>
      <c r="H1189">
        <v>450</v>
      </c>
      <c r="I1189">
        <v>45.3</v>
      </c>
      <c r="J1189" t="s">
        <v>549</v>
      </c>
    </row>
    <row r="1190" spans="1:10" x14ac:dyDescent="0.25">
      <c r="A1190">
        <v>50</v>
      </c>
      <c r="B1190" t="s">
        <v>518</v>
      </c>
      <c r="C1190" t="s">
        <v>21</v>
      </c>
      <c r="D1190">
        <v>34</v>
      </c>
      <c r="E1190" t="s">
        <v>467</v>
      </c>
      <c r="F1190" t="s">
        <v>17</v>
      </c>
      <c r="G1190">
        <v>17</v>
      </c>
      <c r="H1190">
        <v>159</v>
      </c>
      <c r="I1190">
        <v>68.099999999999994</v>
      </c>
      <c r="J1190" t="s">
        <v>549</v>
      </c>
    </row>
    <row r="1191" spans="1:10" x14ac:dyDescent="0.25">
      <c r="A1191">
        <v>50</v>
      </c>
      <c r="B1191" t="s">
        <v>518</v>
      </c>
      <c r="C1191" t="s">
        <v>21</v>
      </c>
      <c r="D1191">
        <v>35</v>
      </c>
      <c r="E1191" t="s">
        <v>539</v>
      </c>
      <c r="F1191" t="s">
        <v>14</v>
      </c>
      <c r="G1191">
        <v>8</v>
      </c>
      <c r="H1191">
        <v>115</v>
      </c>
      <c r="I1191">
        <v>44.3</v>
      </c>
      <c r="J1191" t="s">
        <v>549</v>
      </c>
    </row>
    <row r="1192" spans="1:10" x14ac:dyDescent="0.25">
      <c r="A1192">
        <v>50</v>
      </c>
      <c r="B1192" t="s">
        <v>518</v>
      </c>
      <c r="C1192" t="s">
        <v>21</v>
      </c>
      <c r="D1192">
        <v>29</v>
      </c>
      <c r="E1192" t="s">
        <v>472</v>
      </c>
      <c r="F1192" t="s">
        <v>23</v>
      </c>
      <c r="G1192">
        <v>15</v>
      </c>
      <c r="H1192">
        <v>129</v>
      </c>
      <c r="I1192">
        <v>74.099999999999994</v>
      </c>
      <c r="J1192" t="s">
        <v>549</v>
      </c>
    </row>
    <row r="1193" spans="1:10" x14ac:dyDescent="0.25">
      <c r="A1193">
        <v>32</v>
      </c>
      <c r="B1193" t="s">
        <v>499</v>
      </c>
      <c r="C1193" t="s">
        <v>21</v>
      </c>
      <c r="D1193">
        <v>18</v>
      </c>
      <c r="E1193" t="s">
        <v>532</v>
      </c>
      <c r="F1193" t="s">
        <v>23</v>
      </c>
      <c r="G1193">
        <v>40</v>
      </c>
      <c r="H1193">
        <v>282</v>
      </c>
      <c r="I1193">
        <v>90.4</v>
      </c>
      <c r="J1193" t="s">
        <v>549</v>
      </c>
    </row>
    <row r="1194" spans="1:10" x14ac:dyDescent="0.25">
      <c r="A1194">
        <v>32</v>
      </c>
      <c r="B1194" t="s">
        <v>499</v>
      </c>
      <c r="C1194" t="s">
        <v>21</v>
      </c>
      <c r="D1194">
        <v>19</v>
      </c>
      <c r="E1194" t="s">
        <v>522</v>
      </c>
      <c r="F1194" t="s">
        <v>25</v>
      </c>
      <c r="G1194">
        <v>35</v>
      </c>
      <c r="H1194">
        <v>536</v>
      </c>
      <c r="I1194">
        <v>41.6</v>
      </c>
      <c r="J1194" t="s">
        <v>549</v>
      </c>
    </row>
    <row r="1195" spans="1:10" x14ac:dyDescent="0.25">
      <c r="A1195">
        <v>32</v>
      </c>
      <c r="B1195" t="s">
        <v>499</v>
      </c>
      <c r="C1195" t="s">
        <v>21</v>
      </c>
      <c r="D1195">
        <v>10</v>
      </c>
      <c r="E1195" t="s">
        <v>534</v>
      </c>
      <c r="F1195" t="s">
        <v>23</v>
      </c>
      <c r="G1195">
        <v>138</v>
      </c>
      <c r="H1195">
        <v>803</v>
      </c>
      <c r="I1195">
        <v>109.5</v>
      </c>
      <c r="J1195" t="s">
        <v>549</v>
      </c>
    </row>
    <row r="1196" spans="1:10" x14ac:dyDescent="0.25">
      <c r="A1196">
        <v>33</v>
      </c>
      <c r="B1196" t="s">
        <v>500</v>
      </c>
      <c r="C1196" t="s">
        <v>15</v>
      </c>
      <c r="D1196">
        <v>12</v>
      </c>
      <c r="E1196" t="s">
        <v>475</v>
      </c>
      <c r="F1196" t="s">
        <v>28</v>
      </c>
      <c r="G1196">
        <v>17</v>
      </c>
      <c r="H1196">
        <v>186</v>
      </c>
      <c r="I1196">
        <v>58.2</v>
      </c>
      <c r="J1196" t="s">
        <v>549</v>
      </c>
    </row>
    <row r="1197" spans="1:10" x14ac:dyDescent="0.25">
      <c r="A1197">
        <v>32</v>
      </c>
      <c r="B1197" t="s">
        <v>499</v>
      </c>
      <c r="C1197" t="s">
        <v>21</v>
      </c>
      <c r="D1197">
        <v>32</v>
      </c>
      <c r="E1197" t="s">
        <v>507</v>
      </c>
      <c r="F1197" t="s">
        <v>28</v>
      </c>
      <c r="G1197">
        <v>8</v>
      </c>
      <c r="H1197">
        <v>101</v>
      </c>
      <c r="I1197">
        <v>50.5</v>
      </c>
      <c r="J1197" t="s">
        <v>549</v>
      </c>
    </row>
    <row r="1198" spans="1:10" x14ac:dyDescent="0.25">
      <c r="A1198">
        <v>32</v>
      </c>
      <c r="B1198" t="s">
        <v>499</v>
      </c>
      <c r="C1198" t="s">
        <v>21</v>
      </c>
      <c r="D1198">
        <v>33</v>
      </c>
      <c r="E1198" t="s">
        <v>490</v>
      </c>
      <c r="F1198" t="s">
        <v>23</v>
      </c>
      <c r="G1198">
        <v>13</v>
      </c>
      <c r="H1198">
        <v>65</v>
      </c>
      <c r="I1198">
        <v>127.4</v>
      </c>
      <c r="J1198" t="s">
        <v>549</v>
      </c>
    </row>
    <row r="1199" spans="1:10" x14ac:dyDescent="0.25">
      <c r="A1199">
        <v>32</v>
      </c>
      <c r="B1199" t="s">
        <v>499</v>
      </c>
      <c r="C1199" t="s">
        <v>21</v>
      </c>
      <c r="D1199">
        <v>23</v>
      </c>
      <c r="E1199" t="s">
        <v>506</v>
      </c>
      <c r="F1199" t="s">
        <v>23</v>
      </c>
      <c r="G1199">
        <v>23</v>
      </c>
      <c r="H1199">
        <v>158</v>
      </c>
      <c r="I1199">
        <v>92.7</v>
      </c>
      <c r="J1199" t="s">
        <v>549</v>
      </c>
    </row>
    <row r="1200" spans="1:10" x14ac:dyDescent="0.25">
      <c r="A1200">
        <v>32</v>
      </c>
      <c r="B1200" t="s">
        <v>499</v>
      </c>
      <c r="C1200" t="s">
        <v>21</v>
      </c>
      <c r="D1200">
        <v>24</v>
      </c>
      <c r="E1200" t="s">
        <v>524</v>
      </c>
      <c r="F1200" t="s">
        <v>28</v>
      </c>
      <c r="G1200">
        <v>42</v>
      </c>
      <c r="H1200">
        <v>369</v>
      </c>
      <c r="I1200">
        <v>72.5</v>
      </c>
      <c r="J1200" t="s">
        <v>549</v>
      </c>
    </row>
    <row r="1201" spans="1:10" x14ac:dyDescent="0.25">
      <c r="A1201">
        <v>33</v>
      </c>
      <c r="B1201" t="s">
        <v>500</v>
      </c>
      <c r="C1201" t="s">
        <v>15</v>
      </c>
      <c r="D1201">
        <v>4</v>
      </c>
      <c r="E1201" t="s">
        <v>504</v>
      </c>
      <c r="F1201" t="s">
        <v>14</v>
      </c>
      <c r="G1201">
        <v>15</v>
      </c>
      <c r="H1201">
        <v>193</v>
      </c>
      <c r="I1201">
        <v>49.5</v>
      </c>
      <c r="J1201" t="s">
        <v>549</v>
      </c>
    </row>
    <row r="1202" spans="1:10" x14ac:dyDescent="0.25">
      <c r="A1202">
        <v>32</v>
      </c>
      <c r="B1202" t="s">
        <v>499</v>
      </c>
      <c r="C1202" t="s">
        <v>21</v>
      </c>
      <c r="D1202">
        <v>27</v>
      </c>
      <c r="E1202" t="s">
        <v>526</v>
      </c>
      <c r="F1202" t="s">
        <v>25</v>
      </c>
      <c r="G1202">
        <v>53</v>
      </c>
      <c r="H1202">
        <v>503</v>
      </c>
      <c r="I1202">
        <v>67.099999999999994</v>
      </c>
      <c r="J1202" t="s">
        <v>549</v>
      </c>
    </row>
    <row r="1203" spans="1:10" x14ac:dyDescent="0.25">
      <c r="A1203">
        <v>32</v>
      </c>
      <c r="B1203" t="s">
        <v>499</v>
      </c>
      <c r="C1203" t="s">
        <v>21</v>
      </c>
      <c r="D1203">
        <v>28</v>
      </c>
      <c r="E1203" t="s">
        <v>477</v>
      </c>
      <c r="F1203" t="s">
        <v>25</v>
      </c>
      <c r="G1203">
        <v>5</v>
      </c>
      <c r="H1203">
        <v>85</v>
      </c>
      <c r="I1203">
        <v>37.5</v>
      </c>
      <c r="J1203" t="s">
        <v>549</v>
      </c>
    </row>
    <row r="1204" spans="1:10" x14ac:dyDescent="0.25">
      <c r="A1204">
        <v>32</v>
      </c>
      <c r="B1204" t="s">
        <v>499</v>
      </c>
      <c r="C1204" t="s">
        <v>21</v>
      </c>
      <c r="D1204">
        <v>29</v>
      </c>
      <c r="E1204" t="s">
        <v>472</v>
      </c>
      <c r="F1204" t="s">
        <v>23</v>
      </c>
      <c r="G1204">
        <v>4</v>
      </c>
      <c r="H1204">
        <v>17</v>
      </c>
      <c r="I1204">
        <v>149.9</v>
      </c>
      <c r="J1204" t="s">
        <v>549</v>
      </c>
    </row>
    <row r="1205" spans="1:10" x14ac:dyDescent="0.25">
      <c r="A1205">
        <v>33</v>
      </c>
      <c r="B1205" t="s">
        <v>500</v>
      </c>
      <c r="C1205" t="s">
        <v>15</v>
      </c>
      <c r="D1205">
        <v>29</v>
      </c>
      <c r="E1205" t="s">
        <v>472</v>
      </c>
      <c r="F1205" t="s">
        <v>23</v>
      </c>
      <c r="G1205">
        <v>9</v>
      </c>
      <c r="H1205">
        <v>100</v>
      </c>
      <c r="I1205">
        <v>57.3</v>
      </c>
      <c r="J1205" t="s">
        <v>549</v>
      </c>
    </row>
    <row r="1206" spans="1:10" x14ac:dyDescent="0.25">
      <c r="A1206">
        <v>33</v>
      </c>
      <c r="B1206" t="s">
        <v>500</v>
      </c>
      <c r="C1206" t="s">
        <v>15</v>
      </c>
      <c r="D1206">
        <v>30</v>
      </c>
      <c r="E1206" t="s">
        <v>530</v>
      </c>
      <c r="F1206" t="s">
        <v>14</v>
      </c>
      <c r="G1206">
        <v>39</v>
      </c>
      <c r="H1206">
        <v>319</v>
      </c>
      <c r="I1206">
        <v>77.900000000000006</v>
      </c>
      <c r="J1206" t="s">
        <v>549</v>
      </c>
    </row>
    <row r="1207" spans="1:10" x14ac:dyDescent="0.25">
      <c r="A1207">
        <v>33</v>
      </c>
      <c r="B1207" t="s">
        <v>500</v>
      </c>
      <c r="C1207" t="s">
        <v>15</v>
      </c>
      <c r="D1207">
        <v>19</v>
      </c>
      <c r="E1207" t="s">
        <v>522</v>
      </c>
      <c r="F1207" t="s">
        <v>25</v>
      </c>
      <c r="G1207">
        <v>61</v>
      </c>
      <c r="H1207">
        <v>517</v>
      </c>
      <c r="I1207">
        <v>75.2</v>
      </c>
      <c r="J1207" t="s">
        <v>549</v>
      </c>
    </row>
    <row r="1208" spans="1:10" x14ac:dyDescent="0.25">
      <c r="A1208">
        <v>33</v>
      </c>
      <c r="B1208" t="s">
        <v>500</v>
      </c>
      <c r="C1208" t="s">
        <v>15</v>
      </c>
      <c r="D1208">
        <v>20</v>
      </c>
      <c r="E1208" t="s">
        <v>533</v>
      </c>
      <c r="F1208" t="s">
        <v>28</v>
      </c>
      <c r="G1208">
        <v>11</v>
      </c>
      <c r="H1208">
        <v>56</v>
      </c>
      <c r="I1208">
        <v>125.1</v>
      </c>
      <c r="J1208" t="s">
        <v>549</v>
      </c>
    </row>
    <row r="1209" spans="1:10" x14ac:dyDescent="0.25">
      <c r="A1209">
        <v>33</v>
      </c>
      <c r="B1209" t="s">
        <v>500</v>
      </c>
      <c r="C1209" t="s">
        <v>15</v>
      </c>
      <c r="D1209">
        <v>21</v>
      </c>
      <c r="E1209" t="s">
        <v>476</v>
      </c>
      <c r="F1209" t="s">
        <v>28</v>
      </c>
      <c r="G1209">
        <v>13</v>
      </c>
      <c r="H1209">
        <v>105</v>
      </c>
      <c r="I1209">
        <v>78.900000000000006</v>
      </c>
      <c r="J1209" t="s">
        <v>549</v>
      </c>
    </row>
    <row r="1210" spans="1:10" x14ac:dyDescent="0.25">
      <c r="A1210">
        <v>34</v>
      </c>
      <c r="B1210" t="s">
        <v>501</v>
      </c>
      <c r="C1210" t="s">
        <v>19</v>
      </c>
      <c r="D1210">
        <v>4</v>
      </c>
      <c r="E1210" t="s">
        <v>504</v>
      </c>
      <c r="F1210" t="s">
        <v>14</v>
      </c>
      <c r="G1210">
        <v>15</v>
      </c>
      <c r="H1210">
        <v>108</v>
      </c>
      <c r="I1210">
        <v>88.5</v>
      </c>
      <c r="J1210" t="s">
        <v>549</v>
      </c>
    </row>
    <row r="1211" spans="1:10" x14ac:dyDescent="0.25">
      <c r="A1211">
        <v>33</v>
      </c>
      <c r="B1211" t="s">
        <v>500</v>
      </c>
      <c r="C1211" t="s">
        <v>15</v>
      </c>
      <c r="D1211">
        <v>32</v>
      </c>
      <c r="E1211" t="s">
        <v>507</v>
      </c>
      <c r="F1211" t="s">
        <v>28</v>
      </c>
      <c r="G1211">
        <v>15</v>
      </c>
      <c r="H1211">
        <v>86</v>
      </c>
      <c r="I1211">
        <v>111.1</v>
      </c>
      <c r="J1211" t="s">
        <v>549</v>
      </c>
    </row>
    <row r="1212" spans="1:10" x14ac:dyDescent="0.25">
      <c r="A1212">
        <v>33</v>
      </c>
      <c r="B1212" t="s">
        <v>500</v>
      </c>
      <c r="C1212" t="s">
        <v>15</v>
      </c>
      <c r="D1212">
        <v>33</v>
      </c>
      <c r="E1212" t="s">
        <v>490</v>
      </c>
      <c r="F1212" t="s">
        <v>23</v>
      </c>
      <c r="G1212">
        <v>9</v>
      </c>
      <c r="H1212">
        <v>84</v>
      </c>
      <c r="I1212">
        <v>68.3</v>
      </c>
      <c r="J1212" t="s">
        <v>549</v>
      </c>
    </row>
    <row r="1213" spans="1:10" x14ac:dyDescent="0.25">
      <c r="A1213">
        <v>33</v>
      </c>
      <c r="B1213" t="s">
        <v>500</v>
      </c>
      <c r="C1213" t="s">
        <v>15</v>
      </c>
      <c r="D1213">
        <v>34</v>
      </c>
      <c r="E1213" t="s">
        <v>467</v>
      </c>
      <c r="F1213" t="s">
        <v>17</v>
      </c>
      <c r="G1213">
        <v>14</v>
      </c>
      <c r="H1213">
        <v>133</v>
      </c>
      <c r="I1213">
        <v>67.099999999999994</v>
      </c>
      <c r="J1213" t="s">
        <v>549</v>
      </c>
    </row>
    <row r="1214" spans="1:10" x14ac:dyDescent="0.25">
      <c r="A1214">
        <v>33</v>
      </c>
      <c r="B1214" t="s">
        <v>500</v>
      </c>
      <c r="C1214" t="s">
        <v>15</v>
      </c>
      <c r="D1214">
        <v>23</v>
      </c>
      <c r="E1214" t="s">
        <v>506</v>
      </c>
      <c r="F1214" t="s">
        <v>23</v>
      </c>
      <c r="G1214">
        <v>22</v>
      </c>
      <c r="H1214">
        <v>295</v>
      </c>
      <c r="I1214">
        <v>47.5</v>
      </c>
      <c r="J1214" t="s">
        <v>549</v>
      </c>
    </row>
    <row r="1215" spans="1:10" x14ac:dyDescent="0.25">
      <c r="A1215">
        <v>34</v>
      </c>
      <c r="B1215" t="s">
        <v>501</v>
      </c>
      <c r="C1215" t="s">
        <v>19</v>
      </c>
      <c r="D1215">
        <v>10</v>
      </c>
      <c r="E1215" t="s">
        <v>534</v>
      </c>
      <c r="F1215" t="s">
        <v>23</v>
      </c>
      <c r="G1215">
        <v>57</v>
      </c>
      <c r="H1215">
        <v>385</v>
      </c>
      <c r="I1215">
        <v>94.3</v>
      </c>
      <c r="J1215" t="s">
        <v>549</v>
      </c>
    </row>
    <row r="1216" spans="1:10" x14ac:dyDescent="0.25">
      <c r="A1216">
        <v>34</v>
      </c>
      <c r="B1216" t="s">
        <v>501</v>
      </c>
      <c r="C1216" t="s">
        <v>19</v>
      </c>
      <c r="D1216">
        <v>11</v>
      </c>
      <c r="E1216" t="s">
        <v>469</v>
      </c>
      <c r="F1216" t="s">
        <v>25</v>
      </c>
      <c r="G1216">
        <v>18</v>
      </c>
      <c r="H1216">
        <v>107</v>
      </c>
      <c r="I1216">
        <v>107.2</v>
      </c>
      <c r="J1216" t="s">
        <v>549</v>
      </c>
    </row>
    <row r="1217" spans="1:10" x14ac:dyDescent="0.25">
      <c r="A1217">
        <v>34</v>
      </c>
      <c r="B1217" t="s">
        <v>501</v>
      </c>
      <c r="C1217" t="s">
        <v>19</v>
      </c>
      <c r="D1217">
        <v>32</v>
      </c>
      <c r="E1217" t="s">
        <v>507</v>
      </c>
      <c r="F1217" t="s">
        <v>28</v>
      </c>
      <c r="G1217">
        <v>19</v>
      </c>
      <c r="H1217">
        <v>104</v>
      </c>
      <c r="I1217">
        <v>116.4</v>
      </c>
      <c r="J1217" t="s">
        <v>549</v>
      </c>
    </row>
    <row r="1218" spans="1:10" x14ac:dyDescent="0.25">
      <c r="A1218">
        <v>34</v>
      </c>
      <c r="B1218" t="s">
        <v>501</v>
      </c>
      <c r="C1218" t="s">
        <v>19</v>
      </c>
      <c r="D1218">
        <v>33</v>
      </c>
      <c r="E1218" t="s">
        <v>490</v>
      </c>
      <c r="F1218" t="s">
        <v>23</v>
      </c>
      <c r="G1218">
        <v>9</v>
      </c>
      <c r="H1218">
        <v>73</v>
      </c>
      <c r="I1218">
        <v>78.5</v>
      </c>
      <c r="J1218" t="s">
        <v>549</v>
      </c>
    </row>
    <row r="1219" spans="1:10" x14ac:dyDescent="0.25">
      <c r="A1219">
        <v>34</v>
      </c>
      <c r="B1219" t="s">
        <v>501</v>
      </c>
      <c r="C1219" t="s">
        <v>19</v>
      </c>
      <c r="D1219">
        <v>34</v>
      </c>
      <c r="E1219" t="s">
        <v>467</v>
      </c>
      <c r="F1219" t="s">
        <v>17</v>
      </c>
      <c r="G1219">
        <v>17</v>
      </c>
      <c r="H1219">
        <v>84</v>
      </c>
      <c r="I1219">
        <v>128.9</v>
      </c>
      <c r="J1219" t="s">
        <v>549</v>
      </c>
    </row>
    <row r="1220" spans="1:10" x14ac:dyDescent="0.25">
      <c r="A1220">
        <v>34</v>
      </c>
      <c r="B1220" t="s">
        <v>501</v>
      </c>
      <c r="C1220" t="s">
        <v>19</v>
      </c>
      <c r="D1220">
        <v>28</v>
      </c>
      <c r="E1220" t="s">
        <v>477</v>
      </c>
      <c r="F1220" t="s">
        <v>25</v>
      </c>
      <c r="G1220">
        <v>13</v>
      </c>
      <c r="H1220">
        <v>167</v>
      </c>
      <c r="I1220">
        <v>49.6</v>
      </c>
      <c r="J1220" t="s">
        <v>549</v>
      </c>
    </row>
    <row r="1221" spans="1:10" x14ac:dyDescent="0.25">
      <c r="A1221">
        <v>34</v>
      </c>
      <c r="B1221" t="s">
        <v>501</v>
      </c>
      <c r="C1221" t="s">
        <v>19</v>
      </c>
      <c r="D1221">
        <v>20</v>
      </c>
      <c r="E1221" t="s">
        <v>533</v>
      </c>
      <c r="F1221" t="s">
        <v>28</v>
      </c>
      <c r="G1221">
        <v>17</v>
      </c>
      <c r="H1221">
        <v>106</v>
      </c>
      <c r="I1221">
        <v>102.2</v>
      </c>
      <c r="J1221" t="s">
        <v>549</v>
      </c>
    </row>
    <row r="1222" spans="1:10" x14ac:dyDescent="0.25">
      <c r="A1222">
        <v>34</v>
      </c>
      <c r="B1222" t="s">
        <v>501</v>
      </c>
      <c r="C1222" t="s">
        <v>19</v>
      </c>
      <c r="D1222">
        <v>21</v>
      </c>
      <c r="E1222" t="s">
        <v>476</v>
      </c>
      <c r="F1222" t="s">
        <v>28</v>
      </c>
      <c r="G1222">
        <v>22</v>
      </c>
      <c r="H1222">
        <v>282</v>
      </c>
      <c r="I1222">
        <v>49.7</v>
      </c>
      <c r="J1222" t="s">
        <v>549</v>
      </c>
    </row>
    <row r="1223" spans="1:10" x14ac:dyDescent="0.25">
      <c r="A1223">
        <v>34</v>
      </c>
      <c r="B1223" t="s">
        <v>501</v>
      </c>
      <c r="C1223" t="s">
        <v>19</v>
      </c>
      <c r="D1223">
        <v>22</v>
      </c>
      <c r="E1223" t="s">
        <v>536</v>
      </c>
      <c r="F1223" t="s">
        <v>14</v>
      </c>
      <c r="G1223">
        <v>15</v>
      </c>
      <c r="H1223">
        <v>135</v>
      </c>
      <c r="I1223">
        <v>70.8</v>
      </c>
      <c r="J1223" t="s">
        <v>549</v>
      </c>
    </row>
    <row r="1224" spans="1:10" x14ac:dyDescent="0.25">
      <c r="A1224">
        <v>35</v>
      </c>
      <c r="B1224" t="s">
        <v>502</v>
      </c>
      <c r="C1224" t="s">
        <v>19</v>
      </c>
      <c r="D1224">
        <v>10</v>
      </c>
      <c r="E1224" t="s">
        <v>534</v>
      </c>
      <c r="F1224" t="s">
        <v>23</v>
      </c>
      <c r="G1224">
        <v>86</v>
      </c>
      <c r="H1224">
        <v>626</v>
      </c>
      <c r="I1224">
        <v>87.5</v>
      </c>
      <c r="J1224" t="s">
        <v>549</v>
      </c>
    </row>
    <row r="1225" spans="1:10" x14ac:dyDescent="0.25">
      <c r="A1225">
        <v>35</v>
      </c>
      <c r="B1225" t="s">
        <v>502</v>
      </c>
      <c r="C1225" t="s">
        <v>19</v>
      </c>
      <c r="D1225">
        <v>2</v>
      </c>
      <c r="E1225" t="s">
        <v>462</v>
      </c>
      <c r="F1225" t="s">
        <v>23</v>
      </c>
      <c r="G1225">
        <v>37</v>
      </c>
      <c r="H1225">
        <v>669</v>
      </c>
      <c r="I1225">
        <v>35.200000000000003</v>
      </c>
      <c r="J1225" t="s">
        <v>549</v>
      </c>
    </row>
    <row r="1226" spans="1:10" x14ac:dyDescent="0.25">
      <c r="A1226">
        <v>34</v>
      </c>
      <c r="B1226" t="s">
        <v>501</v>
      </c>
      <c r="C1226" t="s">
        <v>19</v>
      </c>
      <c r="D1226">
        <v>30</v>
      </c>
      <c r="E1226" t="s">
        <v>530</v>
      </c>
      <c r="F1226" t="s">
        <v>14</v>
      </c>
      <c r="G1226">
        <v>53</v>
      </c>
      <c r="H1226">
        <v>810</v>
      </c>
      <c r="I1226">
        <v>41.7</v>
      </c>
      <c r="J1226" t="s">
        <v>549</v>
      </c>
    </row>
    <row r="1227" spans="1:10" x14ac:dyDescent="0.25">
      <c r="A1227">
        <v>35</v>
      </c>
      <c r="B1227" t="s">
        <v>502</v>
      </c>
      <c r="C1227" t="s">
        <v>19</v>
      </c>
      <c r="D1227">
        <v>26</v>
      </c>
      <c r="E1227" t="s">
        <v>519</v>
      </c>
      <c r="F1227" t="s">
        <v>25</v>
      </c>
      <c r="G1227">
        <v>5</v>
      </c>
      <c r="H1227">
        <v>90</v>
      </c>
      <c r="I1227">
        <v>35.4</v>
      </c>
      <c r="J1227" t="s">
        <v>549</v>
      </c>
    </row>
    <row r="1228" spans="1:10" x14ac:dyDescent="0.25">
      <c r="A1228">
        <v>35</v>
      </c>
      <c r="B1228" t="s">
        <v>502</v>
      </c>
      <c r="C1228" t="s">
        <v>19</v>
      </c>
      <c r="D1228">
        <v>14</v>
      </c>
      <c r="E1228" t="s">
        <v>482</v>
      </c>
      <c r="F1228" t="s">
        <v>14</v>
      </c>
      <c r="G1228">
        <v>38</v>
      </c>
      <c r="H1228">
        <v>330</v>
      </c>
      <c r="I1228">
        <v>73.400000000000006</v>
      </c>
      <c r="J1228" t="s">
        <v>549</v>
      </c>
    </row>
    <row r="1229" spans="1:10" x14ac:dyDescent="0.25">
      <c r="A1229">
        <v>35</v>
      </c>
      <c r="B1229" t="s">
        <v>502</v>
      </c>
      <c r="C1229" t="s">
        <v>19</v>
      </c>
      <c r="D1229">
        <v>24</v>
      </c>
      <c r="E1229" t="s">
        <v>524</v>
      </c>
      <c r="F1229" t="s">
        <v>28</v>
      </c>
      <c r="G1229">
        <v>44</v>
      </c>
      <c r="H1229">
        <v>354</v>
      </c>
      <c r="I1229">
        <v>79.2</v>
      </c>
      <c r="J1229" t="s">
        <v>549</v>
      </c>
    </row>
    <row r="1230" spans="1:10" x14ac:dyDescent="0.25">
      <c r="A1230">
        <v>36</v>
      </c>
      <c r="B1230" t="s">
        <v>503</v>
      </c>
      <c r="C1230" t="s">
        <v>19</v>
      </c>
      <c r="D1230">
        <v>27</v>
      </c>
      <c r="E1230" t="s">
        <v>526</v>
      </c>
      <c r="F1230" t="s">
        <v>25</v>
      </c>
      <c r="G1230">
        <v>46</v>
      </c>
      <c r="H1230">
        <v>436</v>
      </c>
      <c r="I1230">
        <v>67.2</v>
      </c>
      <c r="J1230" t="s">
        <v>549</v>
      </c>
    </row>
    <row r="1231" spans="1:10" x14ac:dyDescent="0.25">
      <c r="A1231">
        <v>36</v>
      </c>
      <c r="B1231" t="s">
        <v>503</v>
      </c>
      <c r="C1231" t="s">
        <v>19</v>
      </c>
      <c r="D1231">
        <v>23</v>
      </c>
      <c r="E1231" t="s">
        <v>506</v>
      </c>
      <c r="F1231" t="s">
        <v>23</v>
      </c>
      <c r="G1231">
        <v>19</v>
      </c>
      <c r="H1231">
        <v>135</v>
      </c>
      <c r="I1231">
        <v>89.7</v>
      </c>
      <c r="J1231" t="s">
        <v>549</v>
      </c>
    </row>
    <row r="1232" spans="1:10" x14ac:dyDescent="0.25">
      <c r="A1232">
        <v>36</v>
      </c>
      <c r="B1232" t="s">
        <v>503</v>
      </c>
      <c r="C1232" t="s">
        <v>19</v>
      </c>
      <c r="D1232">
        <v>29</v>
      </c>
      <c r="E1232" t="s">
        <v>472</v>
      </c>
      <c r="F1232" t="s">
        <v>23</v>
      </c>
      <c r="G1232">
        <v>14</v>
      </c>
      <c r="H1232">
        <v>89</v>
      </c>
      <c r="I1232">
        <v>100.2</v>
      </c>
      <c r="J1232" t="s">
        <v>549</v>
      </c>
    </row>
    <row r="1233" spans="1:10" x14ac:dyDescent="0.25">
      <c r="A1233">
        <v>36</v>
      </c>
      <c r="B1233" t="s">
        <v>503</v>
      </c>
      <c r="C1233" t="s">
        <v>19</v>
      </c>
      <c r="D1233">
        <v>25</v>
      </c>
      <c r="E1233" t="s">
        <v>525</v>
      </c>
      <c r="F1233" t="s">
        <v>25</v>
      </c>
      <c r="G1233">
        <v>125</v>
      </c>
      <c r="H1233">
        <v>562</v>
      </c>
      <c r="I1233">
        <v>141.69999999999999</v>
      </c>
      <c r="J1233" t="s">
        <v>549</v>
      </c>
    </row>
    <row r="1234" spans="1:10" x14ac:dyDescent="0.25">
      <c r="A1234">
        <v>36</v>
      </c>
      <c r="B1234" t="s">
        <v>503</v>
      </c>
      <c r="C1234" t="s">
        <v>19</v>
      </c>
      <c r="D1234">
        <v>19</v>
      </c>
      <c r="E1234" t="s">
        <v>522</v>
      </c>
      <c r="F1234" t="s">
        <v>25</v>
      </c>
      <c r="G1234">
        <v>28</v>
      </c>
      <c r="H1234">
        <v>339</v>
      </c>
      <c r="I1234">
        <v>52.6</v>
      </c>
      <c r="J1234" t="s">
        <v>549</v>
      </c>
    </row>
    <row r="1235" spans="1:10" x14ac:dyDescent="0.25">
      <c r="A1235">
        <v>35</v>
      </c>
      <c r="B1235" t="s">
        <v>502</v>
      </c>
      <c r="C1235" t="s">
        <v>19</v>
      </c>
      <c r="D1235">
        <v>31</v>
      </c>
      <c r="E1235" t="s">
        <v>496</v>
      </c>
      <c r="F1235" t="s">
        <v>28</v>
      </c>
      <c r="G1235">
        <v>74</v>
      </c>
      <c r="H1235">
        <v>571</v>
      </c>
      <c r="I1235">
        <v>82.6</v>
      </c>
      <c r="J1235" t="s">
        <v>549</v>
      </c>
    </row>
    <row r="1236" spans="1:10" x14ac:dyDescent="0.25">
      <c r="A1236">
        <v>35</v>
      </c>
      <c r="B1236" t="s">
        <v>502</v>
      </c>
      <c r="C1236" t="s">
        <v>19</v>
      </c>
      <c r="D1236">
        <v>32</v>
      </c>
      <c r="E1236" t="s">
        <v>507</v>
      </c>
      <c r="F1236" t="s">
        <v>28</v>
      </c>
      <c r="G1236">
        <v>20</v>
      </c>
      <c r="H1236">
        <v>127</v>
      </c>
      <c r="I1236">
        <v>100.3</v>
      </c>
      <c r="J1236" t="s">
        <v>549</v>
      </c>
    </row>
    <row r="1237" spans="1:10" x14ac:dyDescent="0.25">
      <c r="A1237">
        <v>35</v>
      </c>
      <c r="B1237" t="s">
        <v>502</v>
      </c>
      <c r="C1237" t="s">
        <v>19</v>
      </c>
      <c r="D1237">
        <v>12</v>
      </c>
      <c r="E1237" t="s">
        <v>475</v>
      </c>
      <c r="F1237" t="s">
        <v>28</v>
      </c>
      <c r="G1237">
        <v>15</v>
      </c>
      <c r="H1237">
        <v>146</v>
      </c>
      <c r="I1237">
        <v>65.400000000000006</v>
      </c>
      <c r="J1237" t="s">
        <v>549</v>
      </c>
    </row>
    <row r="1238" spans="1:10" x14ac:dyDescent="0.25">
      <c r="A1238">
        <v>35</v>
      </c>
      <c r="B1238" t="s">
        <v>502</v>
      </c>
      <c r="C1238" t="s">
        <v>19</v>
      </c>
      <c r="D1238">
        <v>29</v>
      </c>
      <c r="E1238" t="s">
        <v>472</v>
      </c>
      <c r="F1238" t="s">
        <v>23</v>
      </c>
      <c r="G1238">
        <v>11</v>
      </c>
      <c r="H1238">
        <v>113</v>
      </c>
      <c r="I1238">
        <v>62</v>
      </c>
      <c r="J1238" t="s">
        <v>549</v>
      </c>
    </row>
    <row r="1239" spans="1:10" x14ac:dyDescent="0.25">
      <c r="A1239">
        <v>36</v>
      </c>
      <c r="B1239" t="s">
        <v>503</v>
      </c>
      <c r="C1239" t="s">
        <v>19</v>
      </c>
      <c r="D1239">
        <v>3</v>
      </c>
      <c r="E1239" t="s">
        <v>493</v>
      </c>
      <c r="F1239" t="s">
        <v>25</v>
      </c>
      <c r="G1239">
        <v>26</v>
      </c>
      <c r="H1239">
        <v>380</v>
      </c>
      <c r="I1239">
        <v>43.6</v>
      </c>
      <c r="J1239" t="s">
        <v>549</v>
      </c>
    </row>
    <row r="1240" spans="1:10" x14ac:dyDescent="0.25">
      <c r="A1240">
        <v>36</v>
      </c>
      <c r="B1240" t="s">
        <v>503</v>
      </c>
      <c r="C1240" t="s">
        <v>19</v>
      </c>
      <c r="D1240">
        <v>9</v>
      </c>
      <c r="E1240" t="s">
        <v>468</v>
      </c>
      <c r="F1240" t="s">
        <v>23</v>
      </c>
      <c r="G1240">
        <v>19</v>
      </c>
      <c r="H1240">
        <v>267</v>
      </c>
      <c r="I1240">
        <v>45.3</v>
      </c>
      <c r="J1240" t="s">
        <v>549</v>
      </c>
    </row>
    <row r="1241" spans="1:10" x14ac:dyDescent="0.25">
      <c r="A1241">
        <v>37</v>
      </c>
      <c r="B1241" t="s">
        <v>505</v>
      </c>
      <c r="C1241" t="s">
        <v>21</v>
      </c>
      <c r="D1241">
        <v>10</v>
      </c>
      <c r="E1241" t="s">
        <v>534</v>
      </c>
      <c r="F1241" t="s">
        <v>23</v>
      </c>
      <c r="G1241">
        <v>34</v>
      </c>
      <c r="H1241">
        <v>544</v>
      </c>
      <c r="I1241">
        <v>39.799999999999997</v>
      </c>
      <c r="J1241" t="s">
        <v>549</v>
      </c>
    </row>
    <row r="1242" spans="1:10" x14ac:dyDescent="0.25">
      <c r="A1242">
        <v>36</v>
      </c>
      <c r="B1242" t="s">
        <v>503</v>
      </c>
      <c r="C1242" t="s">
        <v>19</v>
      </c>
      <c r="D1242">
        <v>35</v>
      </c>
      <c r="E1242" t="s">
        <v>539</v>
      </c>
      <c r="F1242" t="s">
        <v>14</v>
      </c>
      <c r="G1242">
        <v>12</v>
      </c>
      <c r="H1242">
        <v>68</v>
      </c>
      <c r="I1242">
        <v>112.4</v>
      </c>
      <c r="J1242" t="s">
        <v>549</v>
      </c>
    </row>
    <row r="1243" spans="1:10" x14ac:dyDescent="0.25">
      <c r="A1243">
        <v>36</v>
      </c>
      <c r="B1243" t="s">
        <v>503</v>
      </c>
      <c r="C1243" t="s">
        <v>19</v>
      </c>
      <c r="D1243">
        <v>32</v>
      </c>
      <c r="E1243" t="s">
        <v>507</v>
      </c>
      <c r="F1243" t="s">
        <v>28</v>
      </c>
      <c r="G1243">
        <v>7</v>
      </c>
      <c r="H1243">
        <v>114</v>
      </c>
      <c r="I1243">
        <v>39.1</v>
      </c>
      <c r="J1243" t="s">
        <v>549</v>
      </c>
    </row>
    <row r="1244" spans="1:10" x14ac:dyDescent="0.25">
      <c r="A1244">
        <v>36</v>
      </c>
      <c r="B1244" t="s">
        <v>503</v>
      </c>
      <c r="C1244" t="s">
        <v>19</v>
      </c>
      <c r="D1244">
        <v>33</v>
      </c>
      <c r="E1244" t="s">
        <v>490</v>
      </c>
      <c r="F1244" t="s">
        <v>23</v>
      </c>
      <c r="G1244">
        <v>21</v>
      </c>
      <c r="H1244">
        <v>216</v>
      </c>
      <c r="I1244">
        <v>61.9</v>
      </c>
      <c r="J1244" t="s">
        <v>549</v>
      </c>
    </row>
    <row r="1245" spans="1:10" x14ac:dyDescent="0.25">
      <c r="A1245">
        <v>37</v>
      </c>
      <c r="B1245" t="s">
        <v>505</v>
      </c>
      <c r="C1245" t="s">
        <v>21</v>
      </c>
      <c r="D1245">
        <v>8</v>
      </c>
      <c r="E1245" t="s">
        <v>529</v>
      </c>
      <c r="F1245" t="s">
        <v>14</v>
      </c>
      <c r="G1245">
        <v>129</v>
      </c>
      <c r="H1245">
        <v>1988</v>
      </c>
      <c r="I1245">
        <v>41.3</v>
      </c>
      <c r="J1245" t="s">
        <v>549</v>
      </c>
    </row>
    <row r="1246" spans="1:10" x14ac:dyDescent="0.25">
      <c r="A1246">
        <v>37</v>
      </c>
      <c r="B1246" t="s">
        <v>505</v>
      </c>
      <c r="C1246" t="s">
        <v>21</v>
      </c>
      <c r="D1246">
        <v>22</v>
      </c>
      <c r="E1246" t="s">
        <v>536</v>
      </c>
      <c r="F1246" t="s">
        <v>14</v>
      </c>
      <c r="G1246">
        <v>9</v>
      </c>
      <c r="H1246">
        <v>132</v>
      </c>
      <c r="I1246">
        <v>43.4</v>
      </c>
      <c r="J1246" t="s">
        <v>549</v>
      </c>
    </row>
    <row r="1247" spans="1:10" x14ac:dyDescent="0.25">
      <c r="A1247">
        <v>37</v>
      </c>
      <c r="B1247" t="s">
        <v>505</v>
      </c>
      <c r="C1247" t="s">
        <v>21</v>
      </c>
      <c r="D1247">
        <v>13</v>
      </c>
      <c r="E1247" t="s">
        <v>481</v>
      </c>
      <c r="F1247" t="s">
        <v>17</v>
      </c>
      <c r="G1247">
        <v>21</v>
      </c>
      <c r="H1247">
        <v>184</v>
      </c>
      <c r="I1247">
        <v>72.7</v>
      </c>
      <c r="J1247" t="s">
        <v>549</v>
      </c>
    </row>
    <row r="1248" spans="1:10" x14ac:dyDescent="0.25">
      <c r="A1248">
        <v>37</v>
      </c>
      <c r="B1248" t="s">
        <v>505</v>
      </c>
      <c r="C1248" t="s">
        <v>21</v>
      </c>
      <c r="D1248">
        <v>19</v>
      </c>
      <c r="E1248" t="s">
        <v>522</v>
      </c>
      <c r="F1248" t="s">
        <v>25</v>
      </c>
      <c r="G1248">
        <v>69</v>
      </c>
      <c r="H1248">
        <v>815</v>
      </c>
      <c r="I1248">
        <v>53.9</v>
      </c>
      <c r="J1248" t="s">
        <v>549</v>
      </c>
    </row>
    <row r="1249" spans="1:10" x14ac:dyDescent="0.25">
      <c r="A1249">
        <v>37</v>
      </c>
      <c r="B1249" t="s">
        <v>505</v>
      </c>
      <c r="C1249" t="s">
        <v>21</v>
      </c>
      <c r="D1249">
        <v>20</v>
      </c>
      <c r="E1249" t="s">
        <v>533</v>
      </c>
      <c r="F1249" t="s">
        <v>28</v>
      </c>
      <c r="G1249">
        <v>11</v>
      </c>
      <c r="H1249">
        <v>153</v>
      </c>
      <c r="I1249">
        <v>45.8</v>
      </c>
      <c r="J1249" t="s">
        <v>549</v>
      </c>
    </row>
    <row r="1250" spans="1:10" x14ac:dyDescent="0.25">
      <c r="A1250">
        <v>38</v>
      </c>
      <c r="B1250" t="s">
        <v>508</v>
      </c>
      <c r="C1250" t="s">
        <v>19</v>
      </c>
      <c r="D1250">
        <v>20</v>
      </c>
      <c r="E1250" t="s">
        <v>533</v>
      </c>
      <c r="F1250" t="s">
        <v>28</v>
      </c>
      <c r="G1250">
        <v>11</v>
      </c>
      <c r="H1250">
        <v>185</v>
      </c>
      <c r="I1250">
        <v>37.9</v>
      </c>
      <c r="J1250" t="s">
        <v>549</v>
      </c>
    </row>
    <row r="1251" spans="1:10" x14ac:dyDescent="0.25">
      <c r="A1251">
        <v>38</v>
      </c>
      <c r="B1251" t="s">
        <v>508</v>
      </c>
      <c r="C1251" t="s">
        <v>19</v>
      </c>
      <c r="D1251">
        <v>10</v>
      </c>
      <c r="E1251" t="s">
        <v>534</v>
      </c>
      <c r="F1251" t="s">
        <v>23</v>
      </c>
      <c r="G1251">
        <v>68</v>
      </c>
      <c r="H1251">
        <v>405</v>
      </c>
      <c r="I1251">
        <v>107</v>
      </c>
      <c r="J1251" t="s">
        <v>549</v>
      </c>
    </row>
    <row r="1252" spans="1:10" x14ac:dyDescent="0.25">
      <c r="A1252">
        <v>38</v>
      </c>
      <c r="B1252" t="s">
        <v>508</v>
      </c>
      <c r="C1252" t="s">
        <v>19</v>
      </c>
      <c r="D1252">
        <v>7</v>
      </c>
      <c r="E1252" t="s">
        <v>528</v>
      </c>
      <c r="F1252" t="s">
        <v>28</v>
      </c>
      <c r="G1252">
        <v>84</v>
      </c>
      <c r="H1252">
        <v>575</v>
      </c>
      <c r="I1252">
        <v>93.1</v>
      </c>
      <c r="J1252" t="s">
        <v>549</v>
      </c>
    </row>
    <row r="1253" spans="1:10" x14ac:dyDescent="0.25">
      <c r="A1253">
        <v>38</v>
      </c>
      <c r="B1253" t="s">
        <v>508</v>
      </c>
      <c r="C1253" t="s">
        <v>19</v>
      </c>
      <c r="D1253">
        <v>4</v>
      </c>
      <c r="E1253" t="s">
        <v>504</v>
      </c>
      <c r="F1253" t="s">
        <v>14</v>
      </c>
      <c r="G1253">
        <v>15</v>
      </c>
      <c r="H1253">
        <v>170</v>
      </c>
      <c r="I1253">
        <v>56.2</v>
      </c>
      <c r="J1253" t="s">
        <v>549</v>
      </c>
    </row>
    <row r="1254" spans="1:10" x14ac:dyDescent="0.25">
      <c r="A1254">
        <v>38</v>
      </c>
      <c r="B1254" t="s">
        <v>508</v>
      </c>
      <c r="C1254" t="s">
        <v>19</v>
      </c>
      <c r="D1254">
        <v>5</v>
      </c>
      <c r="E1254" t="s">
        <v>464</v>
      </c>
      <c r="F1254" t="s">
        <v>14</v>
      </c>
      <c r="G1254">
        <v>20</v>
      </c>
      <c r="H1254">
        <v>257</v>
      </c>
      <c r="I1254">
        <v>49.6</v>
      </c>
      <c r="J1254" t="s">
        <v>549</v>
      </c>
    </row>
    <row r="1255" spans="1:10" x14ac:dyDescent="0.25">
      <c r="A1255">
        <v>37</v>
      </c>
      <c r="B1255" t="s">
        <v>505</v>
      </c>
      <c r="C1255" t="s">
        <v>21</v>
      </c>
      <c r="D1255">
        <v>35</v>
      </c>
      <c r="E1255" t="s">
        <v>539</v>
      </c>
      <c r="F1255" t="s">
        <v>14</v>
      </c>
      <c r="G1255">
        <v>14</v>
      </c>
      <c r="H1255">
        <v>164</v>
      </c>
      <c r="I1255">
        <v>54.4</v>
      </c>
      <c r="J1255" t="s">
        <v>549</v>
      </c>
    </row>
    <row r="1256" spans="1:10" x14ac:dyDescent="0.25">
      <c r="A1256">
        <v>37</v>
      </c>
      <c r="B1256" t="s">
        <v>505</v>
      </c>
      <c r="C1256" t="s">
        <v>21</v>
      </c>
      <c r="D1256">
        <v>33</v>
      </c>
      <c r="E1256" t="s">
        <v>490</v>
      </c>
      <c r="F1256" t="s">
        <v>23</v>
      </c>
      <c r="G1256">
        <v>10</v>
      </c>
      <c r="H1256">
        <v>163</v>
      </c>
      <c r="I1256">
        <v>39.1</v>
      </c>
      <c r="J1256" t="s">
        <v>549</v>
      </c>
    </row>
    <row r="1257" spans="1:10" x14ac:dyDescent="0.25">
      <c r="A1257">
        <v>38</v>
      </c>
      <c r="B1257" t="s">
        <v>508</v>
      </c>
      <c r="C1257" t="s">
        <v>19</v>
      </c>
      <c r="D1257">
        <v>28</v>
      </c>
      <c r="E1257" t="s">
        <v>477</v>
      </c>
      <c r="F1257" t="s">
        <v>25</v>
      </c>
      <c r="G1257">
        <v>26</v>
      </c>
      <c r="H1257">
        <v>169</v>
      </c>
      <c r="I1257">
        <v>98</v>
      </c>
      <c r="J1257" t="s">
        <v>549</v>
      </c>
    </row>
    <row r="1258" spans="1:10" x14ac:dyDescent="0.25">
      <c r="A1258">
        <v>38</v>
      </c>
      <c r="B1258" t="s">
        <v>508</v>
      </c>
      <c r="C1258" t="s">
        <v>19</v>
      </c>
      <c r="D1258">
        <v>26</v>
      </c>
      <c r="E1258" t="s">
        <v>519</v>
      </c>
      <c r="F1258" t="s">
        <v>25</v>
      </c>
      <c r="G1258">
        <v>17</v>
      </c>
      <c r="H1258">
        <v>111</v>
      </c>
      <c r="I1258">
        <v>97.6</v>
      </c>
      <c r="J1258" t="s">
        <v>549</v>
      </c>
    </row>
    <row r="1259" spans="1:10" x14ac:dyDescent="0.25">
      <c r="A1259">
        <v>38</v>
      </c>
      <c r="B1259" t="s">
        <v>508</v>
      </c>
      <c r="C1259" t="s">
        <v>19</v>
      </c>
      <c r="D1259">
        <v>23</v>
      </c>
      <c r="E1259" t="s">
        <v>506</v>
      </c>
      <c r="F1259" t="s">
        <v>23</v>
      </c>
      <c r="G1259">
        <v>27</v>
      </c>
      <c r="H1259">
        <v>147</v>
      </c>
      <c r="I1259">
        <v>117</v>
      </c>
      <c r="J1259" t="s">
        <v>549</v>
      </c>
    </row>
    <row r="1260" spans="1:10" x14ac:dyDescent="0.25">
      <c r="A1260">
        <v>38</v>
      </c>
      <c r="B1260" t="s">
        <v>508</v>
      </c>
      <c r="C1260" t="s">
        <v>19</v>
      </c>
      <c r="D1260">
        <v>13</v>
      </c>
      <c r="E1260" t="s">
        <v>481</v>
      </c>
      <c r="F1260" t="s">
        <v>17</v>
      </c>
      <c r="G1260">
        <v>21</v>
      </c>
      <c r="H1260">
        <v>156</v>
      </c>
      <c r="I1260">
        <v>85.8</v>
      </c>
      <c r="J1260" t="s">
        <v>549</v>
      </c>
    </row>
    <row r="1261" spans="1:10" x14ac:dyDescent="0.25">
      <c r="A1261">
        <v>38</v>
      </c>
      <c r="B1261" t="s">
        <v>508</v>
      </c>
      <c r="C1261" t="s">
        <v>19</v>
      </c>
      <c r="D1261">
        <v>32</v>
      </c>
      <c r="E1261" t="s">
        <v>507</v>
      </c>
      <c r="F1261" t="s">
        <v>28</v>
      </c>
      <c r="G1261">
        <v>20</v>
      </c>
      <c r="H1261">
        <v>147</v>
      </c>
      <c r="I1261">
        <v>86.7</v>
      </c>
      <c r="J1261" t="s">
        <v>549</v>
      </c>
    </row>
    <row r="1262" spans="1:10" x14ac:dyDescent="0.25">
      <c r="A1262">
        <v>38</v>
      </c>
      <c r="B1262" t="s">
        <v>508</v>
      </c>
      <c r="C1262" t="s">
        <v>19</v>
      </c>
      <c r="D1262">
        <v>33</v>
      </c>
      <c r="E1262" t="s">
        <v>490</v>
      </c>
      <c r="F1262" t="s">
        <v>23</v>
      </c>
      <c r="G1262">
        <v>9</v>
      </c>
      <c r="H1262">
        <v>93</v>
      </c>
      <c r="I1262">
        <v>61.6</v>
      </c>
      <c r="J1262" t="s">
        <v>549</v>
      </c>
    </row>
    <row r="1263" spans="1:10" x14ac:dyDescent="0.25">
      <c r="A1263">
        <v>38</v>
      </c>
      <c r="B1263" t="s">
        <v>508</v>
      </c>
      <c r="C1263" t="s">
        <v>19</v>
      </c>
      <c r="D1263">
        <v>34</v>
      </c>
      <c r="E1263" t="s">
        <v>467</v>
      </c>
      <c r="F1263" t="s">
        <v>17</v>
      </c>
      <c r="G1263">
        <v>18</v>
      </c>
      <c r="H1263">
        <v>176</v>
      </c>
      <c r="I1263">
        <v>65.099999999999994</v>
      </c>
      <c r="J1263" t="s">
        <v>549</v>
      </c>
    </row>
    <row r="1264" spans="1:10" x14ac:dyDescent="0.25">
      <c r="A1264">
        <v>39</v>
      </c>
      <c r="B1264" t="s">
        <v>509</v>
      </c>
      <c r="C1264" t="s">
        <v>19</v>
      </c>
      <c r="D1264">
        <v>8</v>
      </c>
      <c r="E1264" t="s">
        <v>529</v>
      </c>
      <c r="F1264" t="s">
        <v>14</v>
      </c>
      <c r="G1264">
        <v>90</v>
      </c>
      <c r="H1264">
        <v>1342</v>
      </c>
      <c r="I1264">
        <v>42.7</v>
      </c>
      <c r="J1264" t="s">
        <v>549</v>
      </c>
    </row>
    <row r="1265" spans="1:10" x14ac:dyDescent="0.25">
      <c r="A1265">
        <v>40</v>
      </c>
      <c r="B1265" t="s">
        <v>510</v>
      </c>
      <c r="C1265" t="s">
        <v>26</v>
      </c>
      <c r="D1265">
        <v>21</v>
      </c>
      <c r="E1265" t="s">
        <v>476</v>
      </c>
      <c r="F1265" t="s">
        <v>28</v>
      </c>
      <c r="G1265">
        <v>10</v>
      </c>
      <c r="H1265">
        <v>64</v>
      </c>
      <c r="I1265">
        <v>99.5</v>
      </c>
      <c r="J1265" t="s">
        <v>549</v>
      </c>
    </row>
    <row r="1266" spans="1:10" x14ac:dyDescent="0.25">
      <c r="A1266">
        <v>40</v>
      </c>
      <c r="B1266" t="s">
        <v>510</v>
      </c>
      <c r="C1266" t="s">
        <v>26</v>
      </c>
      <c r="D1266">
        <v>23</v>
      </c>
      <c r="E1266" t="s">
        <v>506</v>
      </c>
      <c r="F1266" t="s">
        <v>23</v>
      </c>
      <c r="G1266">
        <v>10</v>
      </c>
      <c r="H1266">
        <v>104</v>
      </c>
      <c r="I1266">
        <v>61.3</v>
      </c>
      <c r="J1266" t="s">
        <v>549</v>
      </c>
    </row>
    <row r="1267" spans="1:10" x14ac:dyDescent="0.25">
      <c r="A1267">
        <v>40</v>
      </c>
      <c r="B1267" t="s">
        <v>510</v>
      </c>
      <c r="C1267" t="s">
        <v>26</v>
      </c>
      <c r="D1267">
        <v>24</v>
      </c>
      <c r="E1267" t="s">
        <v>524</v>
      </c>
      <c r="F1267" t="s">
        <v>28</v>
      </c>
      <c r="G1267">
        <v>33</v>
      </c>
      <c r="H1267">
        <v>455</v>
      </c>
      <c r="I1267">
        <v>46.2</v>
      </c>
      <c r="J1267" t="s">
        <v>549</v>
      </c>
    </row>
    <row r="1268" spans="1:10" x14ac:dyDescent="0.25">
      <c r="A1268">
        <v>40</v>
      </c>
      <c r="B1268" t="s">
        <v>510</v>
      </c>
      <c r="C1268" t="s">
        <v>26</v>
      </c>
      <c r="D1268">
        <v>10</v>
      </c>
      <c r="E1268" t="s">
        <v>534</v>
      </c>
      <c r="F1268" t="s">
        <v>23</v>
      </c>
      <c r="G1268">
        <v>66</v>
      </c>
      <c r="H1268">
        <v>351</v>
      </c>
      <c r="I1268">
        <v>119.8</v>
      </c>
      <c r="J1268" t="s">
        <v>549</v>
      </c>
    </row>
    <row r="1269" spans="1:10" x14ac:dyDescent="0.25">
      <c r="A1269">
        <v>39</v>
      </c>
      <c r="B1269" t="s">
        <v>509</v>
      </c>
      <c r="C1269" t="s">
        <v>19</v>
      </c>
      <c r="D1269">
        <v>33</v>
      </c>
      <c r="E1269" t="s">
        <v>490</v>
      </c>
      <c r="F1269" t="s">
        <v>23</v>
      </c>
      <c r="G1269">
        <v>14</v>
      </c>
      <c r="H1269">
        <v>182</v>
      </c>
      <c r="I1269">
        <v>49</v>
      </c>
      <c r="J1269" t="s">
        <v>549</v>
      </c>
    </row>
    <row r="1270" spans="1:10" x14ac:dyDescent="0.25">
      <c r="A1270">
        <v>39</v>
      </c>
      <c r="B1270" t="s">
        <v>509</v>
      </c>
      <c r="C1270" t="s">
        <v>19</v>
      </c>
      <c r="D1270">
        <v>13</v>
      </c>
      <c r="E1270" t="s">
        <v>481</v>
      </c>
      <c r="F1270" t="s">
        <v>17</v>
      </c>
      <c r="G1270">
        <v>15</v>
      </c>
      <c r="H1270">
        <v>149</v>
      </c>
      <c r="I1270">
        <v>64.099999999999994</v>
      </c>
      <c r="J1270" t="s">
        <v>549</v>
      </c>
    </row>
    <row r="1271" spans="1:10" x14ac:dyDescent="0.25">
      <c r="A1271">
        <v>39</v>
      </c>
      <c r="B1271" t="s">
        <v>509</v>
      </c>
      <c r="C1271" t="s">
        <v>19</v>
      </c>
      <c r="D1271">
        <v>10</v>
      </c>
      <c r="E1271" t="s">
        <v>534</v>
      </c>
      <c r="F1271" t="s">
        <v>23</v>
      </c>
      <c r="G1271">
        <v>49</v>
      </c>
      <c r="H1271">
        <v>665</v>
      </c>
      <c r="I1271">
        <v>46.9</v>
      </c>
      <c r="J1271" t="s">
        <v>549</v>
      </c>
    </row>
    <row r="1272" spans="1:10" x14ac:dyDescent="0.25">
      <c r="A1272">
        <v>39</v>
      </c>
      <c r="B1272" t="s">
        <v>509</v>
      </c>
      <c r="C1272" t="s">
        <v>19</v>
      </c>
      <c r="D1272">
        <v>24</v>
      </c>
      <c r="E1272" t="s">
        <v>524</v>
      </c>
      <c r="F1272" t="s">
        <v>28</v>
      </c>
      <c r="G1272">
        <v>58</v>
      </c>
      <c r="H1272">
        <v>587</v>
      </c>
      <c r="I1272">
        <v>62.9</v>
      </c>
      <c r="J1272" t="s">
        <v>549</v>
      </c>
    </row>
    <row r="1273" spans="1:10" x14ac:dyDescent="0.25">
      <c r="A1273">
        <v>41</v>
      </c>
      <c r="B1273" t="s">
        <v>511</v>
      </c>
      <c r="C1273" t="s">
        <v>19</v>
      </c>
      <c r="D1273">
        <v>10</v>
      </c>
      <c r="E1273" t="s">
        <v>534</v>
      </c>
      <c r="F1273" t="s">
        <v>23</v>
      </c>
      <c r="G1273">
        <v>94</v>
      </c>
      <c r="H1273">
        <v>494</v>
      </c>
      <c r="I1273">
        <v>121.2</v>
      </c>
      <c r="J1273" t="s">
        <v>549</v>
      </c>
    </row>
    <row r="1274" spans="1:10" x14ac:dyDescent="0.25">
      <c r="A1274">
        <v>41</v>
      </c>
      <c r="B1274" t="s">
        <v>511</v>
      </c>
      <c r="C1274" t="s">
        <v>19</v>
      </c>
      <c r="D1274">
        <v>3</v>
      </c>
      <c r="E1274" t="s">
        <v>493</v>
      </c>
      <c r="F1274" t="s">
        <v>25</v>
      </c>
      <c r="G1274">
        <v>63</v>
      </c>
      <c r="H1274">
        <v>1059</v>
      </c>
      <c r="I1274">
        <v>37.9</v>
      </c>
      <c r="J1274" t="s">
        <v>549</v>
      </c>
    </row>
    <row r="1275" spans="1:10" x14ac:dyDescent="0.25">
      <c r="A1275">
        <v>40</v>
      </c>
      <c r="B1275" t="s">
        <v>510</v>
      </c>
      <c r="C1275" t="s">
        <v>26</v>
      </c>
      <c r="D1275">
        <v>27</v>
      </c>
      <c r="E1275" t="s">
        <v>526</v>
      </c>
      <c r="F1275" t="s">
        <v>25</v>
      </c>
      <c r="G1275">
        <v>25</v>
      </c>
      <c r="H1275">
        <v>380</v>
      </c>
      <c r="I1275">
        <v>41.9</v>
      </c>
      <c r="J1275" t="s">
        <v>549</v>
      </c>
    </row>
    <row r="1276" spans="1:10" x14ac:dyDescent="0.25">
      <c r="A1276">
        <v>39</v>
      </c>
      <c r="B1276" t="s">
        <v>509</v>
      </c>
      <c r="C1276" t="s">
        <v>19</v>
      </c>
      <c r="D1276">
        <v>29</v>
      </c>
      <c r="E1276" t="s">
        <v>472</v>
      </c>
      <c r="F1276" t="s">
        <v>23</v>
      </c>
      <c r="G1276">
        <v>16</v>
      </c>
      <c r="H1276">
        <v>130</v>
      </c>
      <c r="I1276">
        <v>78.400000000000006</v>
      </c>
      <c r="J1276" t="s">
        <v>549</v>
      </c>
    </row>
    <row r="1277" spans="1:10" x14ac:dyDescent="0.25">
      <c r="A1277">
        <v>40</v>
      </c>
      <c r="B1277" t="s">
        <v>510</v>
      </c>
      <c r="C1277" t="s">
        <v>26</v>
      </c>
      <c r="D1277">
        <v>32</v>
      </c>
      <c r="E1277" t="s">
        <v>507</v>
      </c>
      <c r="F1277" t="s">
        <v>28</v>
      </c>
      <c r="G1277">
        <v>7</v>
      </c>
      <c r="H1277">
        <v>88</v>
      </c>
      <c r="I1277">
        <v>50.7</v>
      </c>
      <c r="J1277" t="s">
        <v>549</v>
      </c>
    </row>
    <row r="1278" spans="1:10" x14ac:dyDescent="0.25">
      <c r="A1278">
        <v>40</v>
      </c>
      <c r="B1278" t="s">
        <v>510</v>
      </c>
      <c r="C1278" t="s">
        <v>26</v>
      </c>
      <c r="D1278">
        <v>33</v>
      </c>
      <c r="E1278" t="s">
        <v>490</v>
      </c>
      <c r="F1278" t="s">
        <v>23</v>
      </c>
      <c r="G1278">
        <v>16</v>
      </c>
      <c r="H1278">
        <v>95</v>
      </c>
      <c r="I1278">
        <v>107.3</v>
      </c>
      <c r="J1278" t="s">
        <v>549</v>
      </c>
    </row>
    <row r="1279" spans="1:10" x14ac:dyDescent="0.25">
      <c r="A1279">
        <v>40</v>
      </c>
      <c r="B1279" t="s">
        <v>510</v>
      </c>
      <c r="C1279" t="s">
        <v>26</v>
      </c>
      <c r="D1279">
        <v>30</v>
      </c>
      <c r="E1279" t="s">
        <v>530</v>
      </c>
      <c r="F1279" t="s">
        <v>14</v>
      </c>
      <c r="G1279">
        <v>28</v>
      </c>
      <c r="H1279">
        <v>463</v>
      </c>
      <c r="I1279">
        <v>38.5</v>
      </c>
      <c r="J1279" t="s">
        <v>549</v>
      </c>
    </row>
    <row r="1280" spans="1:10" x14ac:dyDescent="0.25">
      <c r="A1280">
        <v>41</v>
      </c>
      <c r="B1280" t="s">
        <v>511</v>
      </c>
      <c r="C1280" t="s">
        <v>19</v>
      </c>
      <c r="D1280">
        <v>19</v>
      </c>
      <c r="E1280" t="s">
        <v>522</v>
      </c>
      <c r="F1280" t="s">
        <v>25</v>
      </c>
      <c r="G1280">
        <v>100</v>
      </c>
      <c r="H1280">
        <v>1393</v>
      </c>
      <c r="I1280">
        <v>45.7</v>
      </c>
      <c r="J1280" t="s">
        <v>549</v>
      </c>
    </row>
    <row r="1281" spans="1:10" x14ac:dyDescent="0.25">
      <c r="A1281">
        <v>41</v>
      </c>
      <c r="B1281" t="s">
        <v>511</v>
      </c>
      <c r="C1281" t="s">
        <v>19</v>
      </c>
      <c r="D1281">
        <v>20</v>
      </c>
      <c r="E1281" t="s">
        <v>533</v>
      </c>
      <c r="F1281" t="s">
        <v>28</v>
      </c>
      <c r="G1281">
        <v>17</v>
      </c>
      <c r="H1281">
        <v>79</v>
      </c>
      <c r="I1281">
        <v>137.1</v>
      </c>
      <c r="J1281" t="s">
        <v>549</v>
      </c>
    </row>
    <row r="1282" spans="1:10" x14ac:dyDescent="0.25">
      <c r="A1282">
        <v>41</v>
      </c>
      <c r="B1282" t="s">
        <v>511</v>
      </c>
      <c r="C1282" t="s">
        <v>19</v>
      </c>
      <c r="D1282">
        <v>21</v>
      </c>
      <c r="E1282" t="s">
        <v>476</v>
      </c>
      <c r="F1282" t="s">
        <v>28</v>
      </c>
      <c r="G1282">
        <v>29</v>
      </c>
      <c r="H1282">
        <v>215</v>
      </c>
      <c r="I1282">
        <v>85.9</v>
      </c>
      <c r="J1282" t="s">
        <v>549</v>
      </c>
    </row>
    <row r="1283" spans="1:10" x14ac:dyDescent="0.25">
      <c r="A1283">
        <v>41</v>
      </c>
      <c r="B1283" t="s">
        <v>511</v>
      </c>
      <c r="C1283" t="s">
        <v>19</v>
      </c>
      <c r="D1283">
        <v>22</v>
      </c>
      <c r="E1283" t="s">
        <v>536</v>
      </c>
      <c r="F1283" t="s">
        <v>14</v>
      </c>
      <c r="G1283">
        <v>9</v>
      </c>
      <c r="H1283">
        <v>112</v>
      </c>
      <c r="I1283">
        <v>51.2</v>
      </c>
      <c r="J1283" t="s">
        <v>549</v>
      </c>
    </row>
    <row r="1284" spans="1:10" x14ac:dyDescent="0.25">
      <c r="A1284">
        <v>41</v>
      </c>
      <c r="B1284" t="s">
        <v>511</v>
      </c>
      <c r="C1284" t="s">
        <v>19</v>
      </c>
      <c r="D1284">
        <v>23</v>
      </c>
      <c r="E1284" t="s">
        <v>506</v>
      </c>
      <c r="F1284" t="s">
        <v>23</v>
      </c>
      <c r="G1284">
        <v>19</v>
      </c>
      <c r="H1284">
        <v>222</v>
      </c>
      <c r="I1284">
        <v>54.5</v>
      </c>
      <c r="J1284" t="s">
        <v>549</v>
      </c>
    </row>
    <row r="1285" spans="1:10" x14ac:dyDescent="0.25">
      <c r="A1285">
        <v>41</v>
      </c>
      <c r="B1285" t="s">
        <v>511</v>
      </c>
      <c r="C1285" t="s">
        <v>19</v>
      </c>
      <c r="D1285">
        <v>5</v>
      </c>
      <c r="E1285" t="s">
        <v>464</v>
      </c>
      <c r="F1285" t="s">
        <v>14</v>
      </c>
      <c r="G1285">
        <v>8</v>
      </c>
      <c r="H1285">
        <v>103</v>
      </c>
      <c r="I1285">
        <v>49.5</v>
      </c>
      <c r="J1285" t="s">
        <v>549</v>
      </c>
    </row>
    <row r="1286" spans="1:10" x14ac:dyDescent="0.25">
      <c r="A1286">
        <v>24</v>
      </c>
      <c r="B1286" t="s">
        <v>494</v>
      </c>
      <c r="C1286" t="s">
        <v>19</v>
      </c>
      <c r="D1286">
        <v>11</v>
      </c>
      <c r="E1286" t="s">
        <v>469</v>
      </c>
      <c r="F1286" t="s">
        <v>25</v>
      </c>
      <c r="G1286">
        <v>13</v>
      </c>
      <c r="H1286">
        <v>171</v>
      </c>
      <c r="I1286">
        <v>48.4</v>
      </c>
      <c r="J1286" t="s">
        <v>549</v>
      </c>
    </row>
    <row r="1287" spans="1:10" x14ac:dyDescent="0.25">
      <c r="A1287">
        <v>23</v>
      </c>
      <c r="B1287" t="s">
        <v>545</v>
      </c>
      <c r="C1287" t="s">
        <v>26</v>
      </c>
      <c r="D1287">
        <v>26</v>
      </c>
      <c r="E1287" t="s">
        <v>519</v>
      </c>
      <c r="F1287" t="s">
        <v>25</v>
      </c>
      <c r="G1287">
        <v>15</v>
      </c>
      <c r="H1287">
        <v>130</v>
      </c>
      <c r="I1287">
        <v>73.5</v>
      </c>
      <c r="J1287" t="s">
        <v>549</v>
      </c>
    </row>
    <row r="1288" spans="1:10" x14ac:dyDescent="0.25">
      <c r="A1288">
        <v>23</v>
      </c>
      <c r="B1288" t="s">
        <v>545</v>
      </c>
      <c r="C1288" t="s">
        <v>26</v>
      </c>
      <c r="D1288">
        <v>15</v>
      </c>
      <c r="E1288" t="s">
        <v>471</v>
      </c>
      <c r="F1288" t="s">
        <v>23</v>
      </c>
      <c r="G1288">
        <v>14</v>
      </c>
      <c r="H1288">
        <v>192</v>
      </c>
      <c r="I1288">
        <v>46.4</v>
      </c>
      <c r="J1288" t="s">
        <v>549</v>
      </c>
    </row>
    <row r="1289" spans="1:10" x14ac:dyDescent="0.25">
      <c r="A1289">
        <v>19</v>
      </c>
      <c r="B1289" t="s">
        <v>489</v>
      </c>
      <c r="C1289" t="s">
        <v>26</v>
      </c>
      <c r="D1289">
        <v>5</v>
      </c>
      <c r="E1289" t="s">
        <v>464</v>
      </c>
      <c r="F1289" t="s">
        <v>14</v>
      </c>
      <c r="G1289">
        <v>17</v>
      </c>
      <c r="H1289">
        <v>84</v>
      </c>
      <c r="I1289">
        <v>128.9</v>
      </c>
      <c r="J1289" t="s">
        <v>549</v>
      </c>
    </row>
    <row r="1290" spans="1:10" x14ac:dyDescent="0.25">
      <c r="A1290">
        <v>22</v>
      </c>
      <c r="B1290" t="s">
        <v>492</v>
      </c>
      <c r="C1290" t="s">
        <v>26</v>
      </c>
      <c r="D1290">
        <v>33</v>
      </c>
      <c r="E1290" t="s">
        <v>490</v>
      </c>
      <c r="F1290" t="s">
        <v>23</v>
      </c>
      <c r="G1290">
        <v>8</v>
      </c>
      <c r="H1290">
        <v>72</v>
      </c>
      <c r="I1290">
        <v>70.8</v>
      </c>
      <c r="J1290" t="s">
        <v>549</v>
      </c>
    </row>
    <row r="1291" spans="1:10" x14ac:dyDescent="0.25">
      <c r="A1291">
        <v>23</v>
      </c>
      <c r="B1291" t="s">
        <v>545</v>
      </c>
      <c r="C1291" t="s">
        <v>26</v>
      </c>
      <c r="D1291">
        <v>22</v>
      </c>
      <c r="E1291" t="s">
        <v>536</v>
      </c>
      <c r="F1291" t="s">
        <v>14</v>
      </c>
      <c r="G1291">
        <v>11</v>
      </c>
      <c r="H1291">
        <v>119</v>
      </c>
      <c r="I1291">
        <v>58.9</v>
      </c>
      <c r="J1291" t="s">
        <v>549</v>
      </c>
    </row>
    <row r="1292" spans="1:10" x14ac:dyDescent="0.25">
      <c r="A1292">
        <v>23</v>
      </c>
      <c r="B1292" t="s">
        <v>545</v>
      </c>
      <c r="C1292" t="s">
        <v>26</v>
      </c>
      <c r="D1292">
        <v>23</v>
      </c>
      <c r="E1292" t="s">
        <v>506</v>
      </c>
      <c r="F1292" t="s">
        <v>23</v>
      </c>
      <c r="G1292">
        <v>8</v>
      </c>
      <c r="H1292">
        <v>114</v>
      </c>
      <c r="I1292">
        <v>44.7</v>
      </c>
      <c r="J1292" t="s">
        <v>549</v>
      </c>
    </row>
    <row r="1293" spans="1:10" x14ac:dyDescent="0.25">
      <c r="A1293">
        <v>23</v>
      </c>
      <c r="B1293" t="s">
        <v>545</v>
      </c>
      <c r="C1293" t="s">
        <v>26</v>
      </c>
      <c r="D1293">
        <v>24</v>
      </c>
      <c r="E1293" t="s">
        <v>524</v>
      </c>
      <c r="F1293" t="s">
        <v>28</v>
      </c>
      <c r="G1293">
        <v>40</v>
      </c>
      <c r="H1293">
        <v>296</v>
      </c>
      <c r="I1293">
        <v>86.1</v>
      </c>
      <c r="J1293" t="s">
        <v>549</v>
      </c>
    </row>
    <row r="1294" spans="1:10" x14ac:dyDescent="0.25">
      <c r="A1294">
        <v>23</v>
      </c>
      <c r="B1294" t="s">
        <v>545</v>
      </c>
      <c r="C1294" t="s">
        <v>26</v>
      </c>
      <c r="D1294">
        <v>10</v>
      </c>
      <c r="E1294" t="s">
        <v>534</v>
      </c>
      <c r="F1294" t="s">
        <v>23</v>
      </c>
      <c r="G1294">
        <v>35</v>
      </c>
      <c r="H1294">
        <v>362</v>
      </c>
      <c r="I1294">
        <v>61.6</v>
      </c>
      <c r="J1294" t="s">
        <v>549</v>
      </c>
    </row>
    <row r="1295" spans="1:10" x14ac:dyDescent="0.25">
      <c r="A1295">
        <v>23</v>
      </c>
      <c r="B1295" t="s">
        <v>545</v>
      </c>
      <c r="C1295" t="s">
        <v>26</v>
      </c>
      <c r="D1295">
        <v>11</v>
      </c>
      <c r="E1295" t="s">
        <v>469</v>
      </c>
      <c r="F1295" t="s">
        <v>25</v>
      </c>
      <c r="G1295">
        <v>18</v>
      </c>
      <c r="H1295">
        <v>107</v>
      </c>
      <c r="I1295">
        <v>107.2</v>
      </c>
      <c r="J1295" t="s">
        <v>549</v>
      </c>
    </row>
    <row r="1296" spans="1:10" x14ac:dyDescent="0.25">
      <c r="A1296">
        <v>23</v>
      </c>
      <c r="B1296" t="s">
        <v>545</v>
      </c>
      <c r="C1296" t="s">
        <v>26</v>
      </c>
      <c r="D1296">
        <v>12</v>
      </c>
      <c r="E1296" t="s">
        <v>475</v>
      </c>
      <c r="F1296" t="s">
        <v>28</v>
      </c>
      <c r="G1296">
        <v>14</v>
      </c>
      <c r="H1296">
        <v>143</v>
      </c>
      <c r="I1296">
        <v>62.4</v>
      </c>
      <c r="J1296" t="s">
        <v>549</v>
      </c>
    </row>
    <row r="1297" spans="1:10" x14ac:dyDescent="0.25">
      <c r="A1297">
        <v>23</v>
      </c>
      <c r="B1297" t="s">
        <v>545</v>
      </c>
      <c r="C1297" t="s">
        <v>26</v>
      </c>
      <c r="D1297">
        <v>13</v>
      </c>
      <c r="E1297" t="s">
        <v>481</v>
      </c>
      <c r="F1297" t="s">
        <v>17</v>
      </c>
      <c r="G1297">
        <v>31</v>
      </c>
      <c r="H1297">
        <v>459</v>
      </c>
      <c r="I1297">
        <v>43</v>
      </c>
      <c r="J1297" t="s">
        <v>549</v>
      </c>
    </row>
    <row r="1298" spans="1:10" x14ac:dyDescent="0.25">
      <c r="A1298">
        <v>22</v>
      </c>
      <c r="B1298" t="s">
        <v>492</v>
      </c>
      <c r="C1298" t="s">
        <v>26</v>
      </c>
      <c r="D1298">
        <v>10</v>
      </c>
      <c r="E1298" t="s">
        <v>534</v>
      </c>
      <c r="F1298" t="s">
        <v>23</v>
      </c>
      <c r="G1298">
        <v>64</v>
      </c>
      <c r="H1298">
        <v>671</v>
      </c>
      <c r="I1298">
        <v>60.8</v>
      </c>
      <c r="J1298" t="s">
        <v>549</v>
      </c>
    </row>
    <row r="1299" spans="1:10" x14ac:dyDescent="0.25">
      <c r="A1299">
        <v>21</v>
      </c>
      <c r="B1299" t="s">
        <v>537</v>
      </c>
      <c r="C1299" t="s">
        <v>19</v>
      </c>
      <c r="D1299">
        <v>33</v>
      </c>
      <c r="E1299" t="s">
        <v>490</v>
      </c>
      <c r="F1299" t="s">
        <v>23</v>
      </c>
      <c r="G1299">
        <v>16</v>
      </c>
      <c r="H1299">
        <v>102</v>
      </c>
      <c r="I1299">
        <v>99.9</v>
      </c>
      <c r="J1299" t="s">
        <v>549</v>
      </c>
    </row>
    <row r="1300" spans="1:10" x14ac:dyDescent="0.25">
      <c r="A1300">
        <v>22</v>
      </c>
      <c r="B1300" t="s">
        <v>492</v>
      </c>
      <c r="C1300" t="s">
        <v>26</v>
      </c>
      <c r="D1300">
        <v>22</v>
      </c>
      <c r="E1300" t="s">
        <v>536</v>
      </c>
      <c r="F1300" t="s">
        <v>14</v>
      </c>
      <c r="G1300">
        <v>4</v>
      </c>
      <c r="H1300">
        <v>68</v>
      </c>
      <c r="I1300">
        <v>37.5</v>
      </c>
      <c r="J1300" t="s">
        <v>549</v>
      </c>
    </row>
    <row r="1301" spans="1:10" x14ac:dyDescent="0.25">
      <c r="A1301">
        <v>22</v>
      </c>
      <c r="B1301" t="s">
        <v>492</v>
      </c>
      <c r="C1301" t="s">
        <v>26</v>
      </c>
      <c r="D1301">
        <v>23</v>
      </c>
      <c r="E1301" t="s">
        <v>506</v>
      </c>
      <c r="F1301" t="s">
        <v>23</v>
      </c>
      <c r="G1301">
        <v>7</v>
      </c>
      <c r="H1301">
        <v>91</v>
      </c>
      <c r="I1301">
        <v>49</v>
      </c>
      <c r="J1301" t="s">
        <v>549</v>
      </c>
    </row>
    <row r="1302" spans="1:10" x14ac:dyDescent="0.25">
      <c r="A1302">
        <v>22</v>
      </c>
      <c r="B1302" t="s">
        <v>492</v>
      </c>
      <c r="C1302" t="s">
        <v>26</v>
      </c>
      <c r="D1302">
        <v>24</v>
      </c>
      <c r="E1302" t="s">
        <v>524</v>
      </c>
      <c r="F1302" t="s">
        <v>28</v>
      </c>
      <c r="G1302">
        <v>29</v>
      </c>
      <c r="H1302">
        <v>353</v>
      </c>
      <c r="I1302">
        <v>52.3</v>
      </c>
      <c r="J1302" t="s">
        <v>549</v>
      </c>
    </row>
    <row r="1303" spans="1:10" x14ac:dyDescent="0.25">
      <c r="A1303">
        <v>22</v>
      </c>
      <c r="B1303" t="s">
        <v>492</v>
      </c>
      <c r="C1303" t="s">
        <v>26</v>
      </c>
      <c r="D1303">
        <v>20</v>
      </c>
      <c r="E1303" t="s">
        <v>533</v>
      </c>
      <c r="F1303" t="s">
        <v>28</v>
      </c>
      <c r="G1303">
        <v>18</v>
      </c>
      <c r="H1303">
        <v>81</v>
      </c>
      <c r="I1303">
        <v>141.6</v>
      </c>
      <c r="J1303" t="s">
        <v>549</v>
      </c>
    </row>
    <row r="1304" spans="1:10" x14ac:dyDescent="0.25">
      <c r="A1304">
        <v>22</v>
      </c>
      <c r="B1304" t="s">
        <v>492</v>
      </c>
      <c r="C1304" t="s">
        <v>26</v>
      </c>
      <c r="D1304">
        <v>26</v>
      </c>
      <c r="E1304" t="s">
        <v>519</v>
      </c>
      <c r="F1304" t="s">
        <v>25</v>
      </c>
      <c r="G1304">
        <v>15</v>
      </c>
      <c r="H1304">
        <v>68</v>
      </c>
      <c r="I1304">
        <v>140.5</v>
      </c>
      <c r="J1304" t="s">
        <v>549</v>
      </c>
    </row>
    <row r="1305" spans="1:10" x14ac:dyDescent="0.25">
      <c r="A1305">
        <v>22</v>
      </c>
      <c r="B1305" t="s">
        <v>492</v>
      </c>
      <c r="C1305" t="s">
        <v>26</v>
      </c>
      <c r="D1305">
        <v>27</v>
      </c>
      <c r="E1305" t="s">
        <v>526</v>
      </c>
      <c r="F1305" t="s">
        <v>25</v>
      </c>
      <c r="G1305">
        <v>45</v>
      </c>
      <c r="H1305">
        <v>287</v>
      </c>
      <c r="I1305">
        <v>99.9</v>
      </c>
      <c r="J1305" t="s">
        <v>549</v>
      </c>
    </row>
    <row r="1306" spans="1:10" x14ac:dyDescent="0.25">
      <c r="A1306">
        <v>22</v>
      </c>
      <c r="B1306" t="s">
        <v>492</v>
      </c>
      <c r="C1306" t="s">
        <v>26</v>
      </c>
      <c r="D1306">
        <v>5</v>
      </c>
      <c r="E1306" t="s">
        <v>464</v>
      </c>
      <c r="F1306" t="s">
        <v>14</v>
      </c>
      <c r="G1306">
        <v>14</v>
      </c>
      <c r="H1306">
        <v>146</v>
      </c>
      <c r="I1306">
        <v>61.1</v>
      </c>
      <c r="J1306" t="s">
        <v>549</v>
      </c>
    </row>
    <row r="1307" spans="1:10" x14ac:dyDescent="0.25">
      <c r="A1307">
        <v>25</v>
      </c>
      <c r="B1307" t="s">
        <v>495</v>
      </c>
      <c r="C1307" t="s">
        <v>19</v>
      </c>
      <c r="D1307">
        <v>21</v>
      </c>
      <c r="E1307" t="s">
        <v>476</v>
      </c>
      <c r="F1307" t="s">
        <v>28</v>
      </c>
      <c r="G1307">
        <v>5</v>
      </c>
      <c r="H1307">
        <v>56</v>
      </c>
      <c r="I1307">
        <v>56.9</v>
      </c>
      <c r="J1307" t="s">
        <v>549</v>
      </c>
    </row>
    <row r="1308" spans="1:10" x14ac:dyDescent="0.25">
      <c r="A1308">
        <v>25</v>
      </c>
      <c r="B1308" t="s">
        <v>495</v>
      </c>
      <c r="C1308" t="s">
        <v>19</v>
      </c>
      <c r="D1308">
        <v>23</v>
      </c>
      <c r="E1308" t="s">
        <v>506</v>
      </c>
      <c r="F1308" t="s">
        <v>23</v>
      </c>
      <c r="G1308">
        <v>10</v>
      </c>
      <c r="H1308">
        <v>137</v>
      </c>
      <c r="I1308">
        <v>46.5</v>
      </c>
      <c r="J1308" t="s">
        <v>549</v>
      </c>
    </row>
    <row r="1309" spans="1:10" x14ac:dyDescent="0.25">
      <c r="A1309">
        <v>25</v>
      </c>
      <c r="B1309" t="s">
        <v>495</v>
      </c>
      <c r="C1309" t="s">
        <v>19</v>
      </c>
      <c r="D1309">
        <v>12</v>
      </c>
      <c r="E1309" t="s">
        <v>475</v>
      </c>
      <c r="F1309" t="s">
        <v>28</v>
      </c>
      <c r="G1309">
        <v>17</v>
      </c>
      <c r="H1309">
        <v>76</v>
      </c>
      <c r="I1309">
        <v>142.5</v>
      </c>
      <c r="J1309" t="s">
        <v>549</v>
      </c>
    </row>
    <row r="1310" spans="1:10" x14ac:dyDescent="0.25">
      <c r="A1310">
        <v>23</v>
      </c>
      <c r="B1310" t="s">
        <v>545</v>
      </c>
      <c r="C1310" t="s">
        <v>26</v>
      </c>
      <c r="D1310">
        <v>34</v>
      </c>
      <c r="E1310" t="s">
        <v>467</v>
      </c>
      <c r="F1310" t="s">
        <v>17</v>
      </c>
      <c r="G1310">
        <v>18</v>
      </c>
      <c r="H1310">
        <v>231</v>
      </c>
      <c r="I1310">
        <v>49.6</v>
      </c>
      <c r="J1310" t="s">
        <v>549</v>
      </c>
    </row>
    <row r="1311" spans="1:10" x14ac:dyDescent="0.25">
      <c r="A1311">
        <v>23</v>
      </c>
      <c r="B1311" t="s">
        <v>545</v>
      </c>
      <c r="C1311" t="s">
        <v>26</v>
      </c>
      <c r="D1311">
        <v>32</v>
      </c>
      <c r="E1311" t="s">
        <v>507</v>
      </c>
      <c r="F1311" t="s">
        <v>28</v>
      </c>
      <c r="G1311">
        <v>11</v>
      </c>
      <c r="H1311">
        <v>47</v>
      </c>
      <c r="I1311">
        <v>149.1</v>
      </c>
      <c r="J1311" t="s">
        <v>549</v>
      </c>
    </row>
    <row r="1312" spans="1:10" x14ac:dyDescent="0.25">
      <c r="A1312">
        <v>24</v>
      </c>
      <c r="B1312" t="s">
        <v>494</v>
      </c>
      <c r="C1312" t="s">
        <v>19</v>
      </c>
      <c r="D1312">
        <v>14</v>
      </c>
      <c r="E1312" t="s">
        <v>482</v>
      </c>
      <c r="F1312" t="s">
        <v>14</v>
      </c>
      <c r="G1312">
        <v>36</v>
      </c>
      <c r="H1312">
        <v>599</v>
      </c>
      <c r="I1312">
        <v>38.299999999999997</v>
      </c>
      <c r="J1312" t="s">
        <v>549</v>
      </c>
    </row>
    <row r="1313" spans="1:10" x14ac:dyDescent="0.25">
      <c r="A1313">
        <v>24</v>
      </c>
      <c r="B1313" t="s">
        <v>494</v>
      </c>
      <c r="C1313" t="s">
        <v>19</v>
      </c>
      <c r="D1313">
        <v>17</v>
      </c>
      <c r="E1313" t="s">
        <v>531</v>
      </c>
      <c r="F1313" t="s">
        <v>25</v>
      </c>
      <c r="G1313">
        <v>27</v>
      </c>
      <c r="H1313">
        <v>216</v>
      </c>
      <c r="I1313">
        <v>79.599999999999994</v>
      </c>
      <c r="J1313" t="s">
        <v>549</v>
      </c>
    </row>
    <row r="1314" spans="1:10" x14ac:dyDescent="0.25">
      <c r="A1314">
        <v>23</v>
      </c>
      <c r="B1314" t="s">
        <v>545</v>
      </c>
      <c r="C1314" t="s">
        <v>26</v>
      </c>
      <c r="D1314">
        <v>29</v>
      </c>
      <c r="E1314" t="s">
        <v>472</v>
      </c>
      <c r="F1314" t="s">
        <v>23</v>
      </c>
      <c r="G1314">
        <v>9</v>
      </c>
      <c r="H1314">
        <v>78</v>
      </c>
      <c r="I1314">
        <v>73.5</v>
      </c>
      <c r="J1314" t="s">
        <v>549</v>
      </c>
    </row>
    <row r="1315" spans="1:10" x14ac:dyDescent="0.25">
      <c r="A1315">
        <v>24</v>
      </c>
      <c r="B1315" t="s">
        <v>494</v>
      </c>
      <c r="C1315" t="s">
        <v>19</v>
      </c>
      <c r="D1315">
        <v>27</v>
      </c>
      <c r="E1315" t="s">
        <v>526</v>
      </c>
      <c r="F1315" t="s">
        <v>25</v>
      </c>
      <c r="G1315">
        <v>50</v>
      </c>
      <c r="H1315">
        <v>343</v>
      </c>
      <c r="I1315">
        <v>92.9</v>
      </c>
      <c r="J1315" t="s">
        <v>549</v>
      </c>
    </row>
    <row r="1316" spans="1:10" x14ac:dyDescent="0.25">
      <c r="A1316">
        <v>24</v>
      </c>
      <c r="B1316" t="s">
        <v>494</v>
      </c>
      <c r="C1316" t="s">
        <v>19</v>
      </c>
      <c r="D1316">
        <v>19</v>
      </c>
      <c r="E1316" t="s">
        <v>522</v>
      </c>
      <c r="F1316" t="s">
        <v>25</v>
      </c>
      <c r="G1316">
        <v>67</v>
      </c>
      <c r="H1316">
        <v>656</v>
      </c>
      <c r="I1316">
        <v>65.099999999999994</v>
      </c>
      <c r="J1316" t="s">
        <v>549</v>
      </c>
    </row>
    <row r="1317" spans="1:10" x14ac:dyDescent="0.25">
      <c r="A1317">
        <v>24</v>
      </c>
      <c r="B1317" t="s">
        <v>494</v>
      </c>
      <c r="C1317" t="s">
        <v>19</v>
      </c>
      <c r="D1317">
        <v>20</v>
      </c>
      <c r="E1317" t="s">
        <v>533</v>
      </c>
      <c r="F1317" t="s">
        <v>28</v>
      </c>
      <c r="G1317">
        <v>7</v>
      </c>
      <c r="H1317">
        <v>34</v>
      </c>
      <c r="I1317">
        <v>131.1</v>
      </c>
      <c r="J1317" t="s">
        <v>549</v>
      </c>
    </row>
    <row r="1318" spans="1:10" x14ac:dyDescent="0.25">
      <c r="A1318">
        <v>24</v>
      </c>
      <c r="B1318" t="s">
        <v>494</v>
      </c>
      <c r="C1318" t="s">
        <v>19</v>
      </c>
      <c r="D1318">
        <v>22</v>
      </c>
      <c r="E1318" t="s">
        <v>536</v>
      </c>
      <c r="F1318" t="s">
        <v>14</v>
      </c>
      <c r="G1318">
        <v>13</v>
      </c>
      <c r="H1318">
        <v>78</v>
      </c>
      <c r="I1318">
        <v>106.2</v>
      </c>
      <c r="J1318" t="s">
        <v>549</v>
      </c>
    </row>
    <row r="1319" spans="1:10" x14ac:dyDescent="0.25">
      <c r="A1319">
        <v>24</v>
      </c>
      <c r="B1319" t="s">
        <v>494</v>
      </c>
      <c r="C1319" t="s">
        <v>19</v>
      </c>
      <c r="D1319">
        <v>23</v>
      </c>
      <c r="E1319" t="s">
        <v>506</v>
      </c>
      <c r="F1319" t="s">
        <v>23</v>
      </c>
      <c r="G1319">
        <v>16</v>
      </c>
      <c r="H1319">
        <v>138</v>
      </c>
      <c r="I1319">
        <v>73.900000000000006</v>
      </c>
      <c r="J1319" t="s">
        <v>549</v>
      </c>
    </row>
    <row r="1320" spans="1:10" x14ac:dyDescent="0.25">
      <c r="A1320">
        <v>26</v>
      </c>
      <c r="B1320" t="s">
        <v>544</v>
      </c>
      <c r="C1320" t="s">
        <v>26</v>
      </c>
      <c r="D1320">
        <v>22</v>
      </c>
      <c r="E1320" t="s">
        <v>536</v>
      </c>
      <c r="F1320" t="s">
        <v>14</v>
      </c>
      <c r="G1320">
        <v>5</v>
      </c>
      <c r="H1320">
        <v>50</v>
      </c>
      <c r="I1320">
        <v>63.7</v>
      </c>
      <c r="J1320" t="s">
        <v>549</v>
      </c>
    </row>
    <row r="1321" spans="1:10" x14ac:dyDescent="0.25">
      <c r="A1321">
        <v>26</v>
      </c>
      <c r="B1321" t="s">
        <v>544</v>
      </c>
      <c r="C1321" t="s">
        <v>26</v>
      </c>
      <c r="D1321">
        <v>16</v>
      </c>
      <c r="E1321" t="s">
        <v>513</v>
      </c>
      <c r="F1321" t="s">
        <v>14</v>
      </c>
      <c r="G1321">
        <v>20</v>
      </c>
      <c r="H1321">
        <v>258</v>
      </c>
      <c r="I1321">
        <v>49.4</v>
      </c>
      <c r="J1321" t="s">
        <v>549</v>
      </c>
    </row>
    <row r="1322" spans="1:10" x14ac:dyDescent="0.25">
      <c r="A1322">
        <v>26</v>
      </c>
      <c r="B1322" t="s">
        <v>544</v>
      </c>
      <c r="C1322" t="s">
        <v>26</v>
      </c>
      <c r="D1322">
        <v>19</v>
      </c>
      <c r="E1322" t="s">
        <v>522</v>
      </c>
      <c r="F1322" t="s">
        <v>25</v>
      </c>
      <c r="G1322">
        <v>90</v>
      </c>
      <c r="H1322">
        <v>1085</v>
      </c>
      <c r="I1322">
        <v>52.8</v>
      </c>
      <c r="J1322" t="s">
        <v>549</v>
      </c>
    </row>
    <row r="1323" spans="1:10" x14ac:dyDescent="0.25">
      <c r="A1323">
        <v>26</v>
      </c>
      <c r="B1323" t="s">
        <v>544</v>
      </c>
      <c r="C1323" t="s">
        <v>26</v>
      </c>
      <c r="D1323">
        <v>20</v>
      </c>
      <c r="E1323" t="s">
        <v>533</v>
      </c>
      <c r="F1323" t="s">
        <v>28</v>
      </c>
      <c r="G1323">
        <v>6</v>
      </c>
      <c r="H1323">
        <v>58</v>
      </c>
      <c r="I1323">
        <v>65.900000000000006</v>
      </c>
      <c r="J1323" t="s">
        <v>549</v>
      </c>
    </row>
    <row r="1324" spans="1:10" x14ac:dyDescent="0.25">
      <c r="A1324">
        <v>26</v>
      </c>
      <c r="B1324" t="s">
        <v>544</v>
      </c>
      <c r="C1324" t="s">
        <v>26</v>
      </c>
      <c r="D1324">
        <v>12</v>
      </c>
      <c r="E1324" t="s">
        <v>475</v>
      </c>
      <c r="F1324" t="s">
        <v>28</v>
      </c>
      <c r="G1324">
        <v>14</v>
      </c>
      <c r="H1324">
        <v>67</v>
      </c>
      <c r="I1324">
        <v>133.1</v>
      </c>
      <c r="J1324" t="s">
        <v>549</v>
      </c>
    </row>
    <row r="1325" spans="1:10" x14ac:dyDescent="0.25">
      <c r="A1325">
        <v>26</v>
      </c>
      <c r="B1325" t="s">
        <v>544</v>
      </c>
      <c r="C1325" t="s">
        <v>26</v>
      </c>
      <c r="D1325">
        <v>13</v>
      </c>
      <c r="E1325" t="s">
        <v>481</v>
      </c>
      <c r="F1325" t="s">
        <v>17</v>
      </c>
      <c r="G1325">
        <v>20</v>
      </c>
      <c r="H1325">
        <v>214</v>
      </c>
      <c r="I1325">
        <v>59.5</v>
      </c>
      <c r="J1325" t="s">
        <v>549</v>
      </c>
    </row>
    <row r="1326" spans="1:10" x14ac:dyDescent="0.25">
      <c r="A1326">
        <v>24</v>
      </c>
      <c r="B1326" t="s">
        <v>494</v>
      </c>
      <c r="C1326" t="s">
        <v>19</v>
      </c>
      <c r="D1326">
        <v>34</v>
      </c>
      <c r="E1326" t="s">
        <v>467</v>
      </c>
      <c r="F1326" t="s">
        <v>17</v>
      </c>
      <c r="G1326">
        <v>17</v>
      </c>
      <c r="H1326">
        <v>251</v>
      </c>
      <c r="I1326">
        <v>43.1</v>
      </c>
      <c r="J1326" t="s">
        <v>549</v>
      </c>
    </row>
    <row r="1327" spans="1:10" x14ac:dyDescent="0.25">
      <c r="A1327">
        <v>24</v>
      </c>
      <c r="B1327" t="s">
        <v>494</v>
      </c>
      <c r="C1327" t="s">
        <v>19</v>
      </c>
      <c r="D1327">
        <v>35</v>
      </c>
      <c r="E1327" t="s">
        <v>539</v>
      </c>
      <c r="F1327" t="s">
        <v>14</v>
      </c>
      <c r="G1327">
        <v>19</v>
      </c>
      <c r="H1327">
        <v>79</v>
      </c>
      <c r="I1327">
        <v>153.19999999999999</v>
      </c>
      <c r="J1327" t="s">
        <v>549</v>
      </c>
    </row>
    <row r="1328" spans="1:10" x14ac:dyDescent="0.25">
      <c r="A1328">
        <v>25</v>
      </c>
      <c r="B1328" t="s">
        <v>495</v>
      </c>
      <c r="C1328" t="s">
        <v>19</v>
      </c>
      <c r="D1328">
        <v>27</v>
      </c>
      <c r="E1328" t="s">
        <v>526</v>
      </c>
      <c r="F1328" t="s">
        <v>25</v>
      </c>
      <c r="G1328">
        <v>29</v>
      </c>
      <c r="H1328">
        <v>375</v>
      </c>
      <c r="I1328">
        <v>49.3</v>
      </c>
      <c r="J1328" t="s">
        <v>549</v>
      </c>
    </row>
    <row r="1329" spans="1:10" x14ac:dyDescent="0.25">
      <c r="A1329">
        <v>25</v>
      </c>
      <c r="B1329" t="s">
        <v>495</v>
      </c>
      <c r="C1329" t="s">
        <v>19</v>
      </c>
      <c r="D1329">
        <v>28</v>
      </c>
      <c r="E1329" t="s">
        <v>477</v>
      </c>
      <c r="F1329" t="s">
        <v>25</v>
      </c>
      <c r="G1329">
        <v>16</v>
      </c>
      <c r="H1329">
        <v>84</v>
      </c>
      <c r="I1329">
        <v>121.3</v>
      </c>
      <c r="J1329" t="s">
        <v>549</v>
      </c>
    </row>
    <row r="1330" spans="1:10" x14ac:dyDescent="0.25">
      <c r="A1330">
        <v>25</v>
      </c>
      <c r="B1330" t="s">
        <v>495</v>
      </c>
      <c r="C1330" t="s">
        <v>19</v>
      </c>
      <c r="D1330">
        <v>29</v>
      </c>
      <c r="E1330" t="s">
        <v>472</v>
      </c>
      <c r="F1330" t="s">
        <v>23</v>
      </c>
      <c r="G1330">
        <v>6</v>
      </c>
      <c r="H1330">
        <v>74</v>
      </c>
      <c r="I1330">
        <v>51.6</v>
      </c>
      <c r="J1330" t="s">
        <v>549</v>
      </c>
    </row>
    <row r="1331" spans="1:10" x14ac:dyDescent="0.25">
      <c r="A1331">
        <v>24</v>
      </c>
      <c r="B1331" t="s">
        <v>494</v>
      </c>
      <c r="C1331" t="s">
        <v>19</v>
      </c>
      <c r="D1331">
        <v>32</v>
      </c>
      <c r="E1331" t="s">
        <v>507</v>
      </c>
      <c r="F1331" t="s">
        <v>28</v>
      </c>
      <c r="G1331">
        <v>10</v>
      </c>
      <c r="H1331">
        <v>52</v>
      </c>
      <c r="I1331">
        <v>122.5</v>
      </c>
      <c r="J1331" t="s">
        <v>549</v>
      </c>
    </row>
    <row r="1332" spans="1:10" x14ac:dyDescent="0.25">
      <c r="A1332">
        <v>24</v>
      </c>
      <c r="B1332" t="s">
        <v>494</v>
      </c>
      <c r="C1332" t="s">
        <v>19</v>
      </c>
      <c r="D1332">
        <v>30</v>
      </c>
      <c r="E1332" t="s">
        <v>530</v>
      </c>
      <c r="F1332" t="s">
        <v>14</v>
      </c>
      <c r="G1332">
        <v>50</v>
      </c>
      <c r="H1332">
        <v>906</v>
      </c>
      <c r="I1332">
        <v>35.200000000000003</v>
      </c>
      <c r="J1332" t="s">
        <v>549</v>
      </c>
    </row>
    <row r="1333" spans="1:10" x14ac:dyDescent="0.25">
      <c r="A1333">
        <v>26</v>
      </c>
      <c r="B1333" t="s">
        <v>544</v>
      </c>
      <c r="C1333" t="s">
        <v>26</v>
      </c>
      <c r="D1333">
        <v>4</v>
      </c>
      <c r="E1333" t="s">
        <v>504</v>
      </c>
      <c r="F1333" t="s">
        <v>14</v>
      </c>
      <c r="G1333">
        <v>12</v>
      </c>
      <c r="H1333">
        <v>74</v>
      </c>
      <c r="I1333">
        <v>103.3</v>
      </c>
      <c r="J1333" t="s">
        <v>549</v>
      </c>
    </row>
    <row r="1334" spans="1:10" x14ac:dyDescent="0.25">
      <c r="A1334">
        <v>26</v>
      </c>
      <c r="B1334" t="s">
        <v>544</v>
      </c>
      <c r="C1334" t="s">
        <v>26</v>
      </c>
      <c r="D1334">
        <v>5</v>
      </c>
      <c r="E1334" t="s">
        <v>464</v>
      </c>
      <c r="F1334" t="s">
        <v>14</v>
      </c>
      <c r="G1334">
        <v>8</v>
      </c>
      <c r="H1334">
        <v>90</v>
      </c>
      <c r="I1334">
        <v>56.6</v>
      </c>
      <c r="J1334" t="s">
        <v>549</v>
      </c>
    </row>
    <row r="1335" spans="1:10" x14ac:dyDescent="0.25">
      <c r="A1335">
        <v>25</v>
      </c>
      <c r="B1335" t="s">
        <v>495</v>
      </c>
      <c r="C1335" t="s">
        <v>19</v>
      </c>
      <c r="D1335">
        <v>32</v>
      </c>
      <c r="E1335" t="s">
        <v>507</v>
      </c>
      <c r="F1335" t="s">
        <v>28</v>
      </c>
      <c r="G1335">
        <v>10</v>
      </c>
      <c r="H1335">
        <v>94</v>
      </c>
      <c r="I1335">
        <v>67.8</v>
      </c>
      <c r="J1335" t="s">
        <v>549</v>
      </c>
    </row>
    <row r="1336" spans="1:10" x14ac:dyDescent="0.25">
      <c r="A1336">
        <v>25</v>
      </c>
      <c r="B1336" t="s">
        <v>495</v>
      </c>
      <c r="C1336" t="s">
        <v>19</v>
      </c>
      <c r="D1336">
        <v>33</v>
      </c>
      <c r="E1336" t="s">
        <v>490</v>
      </c>
      <c r="F1336" t="s">
        <v>23</v>
      </c>
      <c r="G1336">
        <v>4</v>
      </c>
      <c r="H1336">
        <v>68</v>
      </c>
      <c r="I1336">
        <v>37.5</v>
      </c>
      <c r="J1336" t="s">
        <v>549</v>
      </c>
    </row>
    <row r="1337" spans="1:10" x14ac:dyDescent="0.25">
      <c r="A1337">
        <v>25</v>
      </c>
      <c r="B1337" t="s">
        <v>495</v>
      </c>
      <c r="C1337" t="s">
        <v>19</v>
      </c>
      <c r="D1337">
        <v>34</v>
      </c>
      <c r="E1337" t="s">
        <v>467</v>
      </c>
      <c r="F1337" t="s">
        <v>17</v>
      </c>
      <c r="G1337">
        <v>23</v>
      </c>
      <c r="H1337">
        <v>171</v>
      </c>
      <c r="I1337">
        <v>85.7</v>
      </c>
      <c r="J1337" t="s">
        <v>549</v>
      </c>
    </row>
    <row r="1338" spans="1:10" x14ac:dyDescent="0.25">
      <c r="A1338">
        <v>27</v>
      </c>
      <c r="B1338" t="s">
        <v>497</v>
      </c>
      <c r="C1338" t="s">
        <v>19</v>
      </c>
      <c r="D1338">
        <v>10</v>
      </c>
      <c r="E1338" t="s">
        <v>534</v>
      </c>
      <c r="F1338" t="s">
        <v>23</v>
      </c>
      <c r="G1338">
        <v>45</v>
      </c>
      <c r="H1338">
        <v>298</v>
      </c>
      <c r="I1338">
        <v>96.2</v>
      </c>
      <c r="J1338" t="s">
        <v>549</v>
      </c>
    </row>
    <row r="1339" spans="1:10" x14ac:dyDescent="0.25">
      <c r="A1339">
        <v>26</v>
      </c>
      <c r="B1339" t="s">
        <v>544</v>
      </c>
      <c r="C1339" t="s">
        <v>26</v>
      </c>
      <c r="D1339">
        <v>28</v>
      </c>
      <c r="E1339" t="s">
        <v>477</v>
      </c>
      <c r="F1339" t="s">
        <v>25</v>
      </c>
      <c r="G1339">
        <v>26</v>
      </c>
      <c r="H1339">
        <v>118</v>
      </c>
      <c r="I1339">
        <v>140.4</v>
      </c>
      <c r="J1339" t="s">
        <v>549</v>
      </c>
    </row>
    <row r="1340" spans="1:10" x14ac:dyDescent="0.25">
      <c r="A1340">
        <v>26</v>
      </c>
      <c r="B1340" t="s">
        <v>544</v>
      </c>
      <c r="C1340" t="s">
        <v>26</v>
      </c>
      <c r="D1340">
        <v>29</v>
      </c>
      <c r="E1340" t="s">
        <v>472</v>
      </c>
      <c r="F1340" t="s">
        <v>23</v>
      </c>
      <c r="G1340">
        <v>3</v>
      </c>
      <c r="H1340">
        <v>49</v>
      </c>
      <c r="I1340">
        <v>39</v>
      </c>
      <c r="J1340" t="s">
        <v>549</v>
      </c>
    </row>
    <row r="1341" spans="1:10" x14ac:dyDescent="0.25">
      <c r="A1341">
        <v>26</v>
      </c>
      <c r="B1341" t="s">
        <v>544</v>
      </c>
      <c r="C1341" t="s">
        <v>26</v>
      </c>
      <c r="D1341">
        <v>30</v>
      </c>
      <c r="E1341" t="s">
        <v>530</v>
      </c>
      <c r="F1341" t="s">
        <v>14</v>
      </c>
      <c r="G1341">
        <v>46</v>
      </c>
      <c r="H1341">
        <v>725</v>
      </c>
      <c r="I1341">
        <v>40.4</v>
      </c>
      <c r="J1341" t="s">
        <v>549</v>
      </c>
    </row>
    <row r="1342" spans="1:10" x14ac:dyDescent="0.25">
      <c r="A1342">
        <v>27</v>
      </c>
      <c r="B1342" t="s">
        <v>497</v>
      </c>
      <c r="C1342" t="s">
        <v>19</v>
      </c>
      <c r="D1342">
        <v>23</v>
      </c>
      <c r="E1342" t="s">
        <v>506</v>
      </c>
      <c r="F1342" t="s">
        <v>23</v>
      </c>
      <c r="G1342">
        <v>16</v>
      </c>
      <c r="H1342">
        <v>125</v>
      </c>
      <c r="I1342">
        <v>81.5</v>
      </c>
      <c r="J1342" t="s">
        <v>549</v>
      </c>
    </row>
    <row r="1343" spans="1:10" x14ac:dyDescent="0.25">
      <c r="A1343">
        <v>27</v>
      </c>
      <c r="B1343" t="s">
        <v>497</v>
      </c>
      <c r="C1343" t="s">
        <v>19</v>
      </c>
      <c r="D1343">
        <v>24</v>
      </c>
      <c r="E1343" t="s">
        <v>524</v>
      </c>
      <c r="F1343" t="s">
        <v>28</v>
      </c>
      <c r="G1343">
        <v>46</v>
      </c>
      <c r="H1343">
        <v>256</v>
      </c>
      <c r="I1343">
        <v>114.5</v>
      </c>
      <c r="J1343" t="s">
        <v>549</v>
      </c>
    </row>
    <row r="1344" spans="1:10" x14ac:dyDescent="0.25">
      <c r="A1344">
        <v>26</v>
      </c>
      <c r="B1344" t="s">
        <v>544</v>
      </c>
      <c r="C1344" t="s">
        <v>26</v>
      </c>
      <c r="D1344">
        <v>34</v>
      </c>
      <c r="E1344" t="s">
        <v>467</v>
      </c>
      <c r="F1344" t="s">
        <v>17</v>
      </c>
      <c r="G1344">
        <v>17</v>
      </c>
      <c r="H1344">
        <v>294</v>
      </c>
      <c r="I1344">
        <v>36.799999999999997</v>
      </c>
      <c r="J1344" t="s">
        <v>549</v>
      </c>
    </row>
    <row r="1345" spans="1:10" x14ac:dyDescent="0.25">
      <c r="A1345">
        <v>26</v>
      </c>
      <c r="B1345" t="s">
        <v>544</v>
      </c>
      <c r="C1345" t="s">
        <v>26</v>
      </c>
      <c r="D1345">
        <v>35</v>
      </c>
      <c r="E1345" t="s">
        <v>539</v>
      </c>
      <c r="F1345" t="s">
        <v>14</v>
      </c>
      <c r="G1345">
        <v>8</v>
      </c>
      <c r="H1345">
        <v>103</v>
      </c>
      <c r="I1345">
        <v>49.5</v>
      </c>
      <c r="J1345" t="s">
        <v>549</v>
      </c>
    </row>
    <row r="1346" spans="1:10" x14ac:dyDescent="0.25">
      <c r="A1346">
        <v>27</v>
      </c>
      <c r="B1346" t="s">
        <v>497</v>
      </c>
      <c r="C1346" t="s">
        <v>19</v>
      </c>
      <c r="D1346">
        <v>13</v>
      </c>
      <c r="E1346" t="s">
        <v>481</v>
      </c>
      <c r="F1346" t="s">
        <v>17</v>
      </c>
      <c r="G1346">
        <v>10</v>
      </c>
      <c r="H1346">
        <v>108</v>
      </c>
      <c r="I1346">
        <v>59</v>
      </c>
      <c r="J1346" t="s">
        <v>549</v>
      </c>
    </row>
    <row r="1347" spans="1:10" x14ac:dyDescent="0.25">
      <c r="A1347">
        <v>29</v>
      </c>
      <c r="B1347" t="s">
        <v>521</v>
      </c>
      <c r="C1347" t="s">
        <v>26</v>
      </c>
      <c r="D1347">
        <v>17</v>
      </c>
      <c r="E1347" t="s">
        <v>531</v>
      </c>
      <c r="F1347" t="s">
        <v>25</v>
      </c>
      <c r="G1347">
        <v>25</v>
      </c>
      <c r="H1347">
        <v>285</v>
      </c>
      <c r="I1347">
        <v>55.9</v>
      </c>
      <c r="J1347" t="s">
        <v>549</v>
      </c>
    </row>
    <row r="1348" spans="1:10" x14ac:dyDescent="0.25">
      <c r="A1348">
        <v>28</v>
      </c>
      <c r="B1348" t="s">
        <v>498</v>
      </c>
      <c r="C1348" t="s">
        <v>19</v>
      </c>
      <c r="D1348">
        <v>26</v>
      </c>
      <c r="E1348" t="s">
        <v>519</v>
      </c>
      <c r="F1348" t="s">
        <v>25</v>
      </c>
      <c r="G1348">
        <v>15</v>
      </c>
      <c r="H1348">
        <v>180</v>
      </c>
      <c r="I1348">
        <v>53.1</v>
      </c>
      <c r="J1348" t="s">
        <v>549</v>
      </c>
    </row>
    <row r="1349" spans="1:10" x14ac:dyDescent="0.25">
      <c r="A1349">
        <v>28</v>
      </c>
      <c r="B1349" t="s">
        <v>498</v>
      </c>
      <c r="C1349" t="s">
        <v>19</v>
      </c>
      <c r="D1349">
        <v>23</v>
      </c>
      <c r="E1349" t="s">
        <v>506</v>
      </c>
      <c r="F1349" t="s">
        <v>23</v>
      </c>
      <c r="G1349">
        <v>24</v>
      </c>
      <c r="H1349">
        <v>268</v>
      </c>
      <c r="I1349">
        <v>57</v>
      </c>
      <c r="J1349" t="s">
        <v>549</v>
      </c>
    </row>
    <row r="1350" spans="1:10" x14ac:dyDescent="0.25">
      <c r="A1350">
        <v>27</v>
      </c>
      <c r="B1350" t="s">
        <v>497</v>
      </c>
      <c r="C1350" t="s">
        <v>19</v>
      </c>
      <c r="D1350">
        <v>32</v>
      </c>
      <c r="E1350" t="s">
        <v>507</v>
      </c>
      <c r="F1350" t="s">
        <v>28</v>
      </c>
      <c r="G1350">
        <v>6</v>
      </c>
      <c r="H1350">
        <v>75</v>
      </c>
      <c r="I1350">
        <v>51</v>
      </c>
      <c r="J1350" t="s">
        <v>549</v>
      </c>
    </row>
    <row r="1351" spans="1:10" x14ac:dyDescent="0.25">
      <c r="A1351">
        <v>27</v>
      </c>
      <c r="B1351" t="s">
        <v>497</v>
      </c>
      <c r="C1351" t="s">
        <v>19</v>
      </c>
      <c r="D1351">
        <v>33</v>
      </c>
      <c r="E1351" t="s">
        <v>490</v>
      </c>
      <c r="F1351" t="s">
        <v>23</v>
      </c>
      <c r="G1351">
        <v>7</v>
      </c>
      <c r="H1351">
        <v>105</v>
      </c>
      <c r="I1351">
        <v>42.5</v>
      </c>
      <c r="J1351" t="s">
        <v>549</v>
      </c>
    </row>
    <row r="1352" spans="1:10" x14ac:dyDescent="0.25">
      <c r="A1352">
        <v>27</v>
      </c>
      <c r="B1352" t="s">
        <v>497</v>
      </c>
      <c r="C1352" t="s">
        <v>19</v>
      </c>
      <c r="D1352">
        <v>29</v>
      </c>
      <c r="E1352" t="s">
        <v>472</v>
      </c>
      <c r="F1352" t="s">
        <v>23</v>
      </c>
      <c r="G1352">
        <v>3</v>
      </c>
      <c r="H1352">
        <v>13</v>
      </c>
      <c r="I1352">
        <v>147</v>
      </c>
      <c r="J1352" t="s">
        <v>549</v>
      </c>
    </row>
    <row r="1353" spans="1:10" x14ac:dyDescent="0.25">
      <c r="A1353">
        <v>30</v>
      </c>
      <c r="B1353" t="s">
        <v>543</v>
      </c>
      <c r="C1353" t="s">
        <v>15</v>
      </c>
      <c r="D1353">
        <v>28</v>
      </c>
      <c r="E1353" t="s">
        <v>477</v>
      </c>
      <c r="F1353" t="s">
        <v>25</v>
      </c>
      <c r="G1353">
        <v>3</v>
      </c>
      <c r="H1353">
        <v>46</v>
      </c>
      <c r="I1353">
        <v>41.5</v>
      </c>
      <c r="J1353" t="s">
        <v>549</v>
      </c>
    </row>
    <row r="1354" spans="1:10" x14ac:dyDescent="0.25">
      <c r="A1354">
        <v>30</v>
      </c>
      <c r="B1354" t="s">
        <v>543</v>
      </c>
      <c r="C1354" t="s">
        <v>15</v>
      </c>
      <c r="D1354">
        <v>29</v>
      </c>
      <c r="E1354" t="s">
        <v>472</v>
      </c>
      <c r="F1354" t="s">
        <v>23</v>
      </c>
      <c r="G1354">
        <v>19</v>
      </c>
      <c r="H1354">
        <v>294</v>
      </c>
      <c r="I1354">
        <v>41.2</v>
      </c>
      <c r="J1354" t="s">
        <v>549</v>
      </c>
    </row>
    <row r="1355" spans="1:10" x14ac:dyDescent="0.25">
      <c r="A1355">
        <v>30</v>
      </c>
      <c r="B1355" t="s">
        <v>543</v>
      </c>
      <c r="C1355" t="s">
        <v>15</v>
      </c>
      <c r="D1355">
        <v>8</v>
      </c>
      <c r="E1355" t="s">
        <v>529</v>
      </c>
      <c r="F1355" t="s">
        <v>14</v>
      </c>
      <c r="G1355">
        <v>110</v>
      </c>
      <c r="H1355">
        <v>709</v>
      </c>
      <c r="I1355">
        <v>98.8</v>
      </c>
      <c r="J1355" t="s">
        <v>549</v>
      </c>
    </row>
    <row r="1356" spans="1:10" x14ac:dyDescent="0.25">
      <c r="A1356">
        <v>29</v>
      </c>
      <c r="B1356" t="s">
        <v>521</v>
      </c>
      <c r="C1356" t="s">
        <v>26</v>
      </c>
      <c r="D1356">
        <v>29</v>
      </c>
      <c r="E1356" t="s">
        <v>472</v>
      </c>
      <c r="F1356" t="s">
        <v>23</v>
      </c>
      <c r="G1356">
        <v>6</v>
      </c>
      <c r="H1356">
        <v>109</v>
      </c>
      <c r="I1356">
        <v>35.1</v>
      </c>
      <c r="J1356" t="s">
        <v>549</v>
      </c>
    </row>
    <row r="1357" spans="1:10" x14ac:dyDescent="0.25">
      <c r="A1357">
        <v>29</v>
      </c>
      <c r="B1357" t="s">
        <v>521</v>
      </c>
      <c r="C1357" t="s">
        <v>26</v>
      </c>
      <c r="D1357">
        <v>27</v>
      </c>
      <c r="E1357" t="s">
        <v>526</v>
      </c>
      <c r="F1357" t="s">
        <v>25</v>
      </c>
      <c r="G1357">
        <v>27</v>
      </c>
      <c r="H1357">
        <v>448</v>
      </c>
      <c r="I1357">
        <v>38.4</v>
      </c>
      <c r="J1357" t="s">
        <v>549</v>
      </c>
    </row>
    <row r="1358" spans="1:10" x14ac:dyDescent="0.25">
      <c r="A1358">
        <v>29</v>
      </c>
      <c r="B1358" t="s">
        <v>521</v>
      </c>
      <c r="C1358" t="s">
        <v>26</v>
      </c>
      <c r="D1358">
        <v>23</v>
      </c>
      <c r="E1358" t="s">
        <v>506</v>
      </c>
      <c r="F1358" t="s">
        <v>23</v>
      </c>
      <c r="G1358">
        <v>37</v>
      </c>
      <c r="H1358">
        <v>176</v>
      </c>
      <c r="I1358">
        <v>133.9</v>
      </c>
      <c r="J1358" t="s">
        <v>549</v>
      </c>
    </row>
    <row r="1359" spans="1:10" x14ac:dyDescent="0.25">
      <c r="A1359">
        <v>28</v>
      </c>
      <c r="B1359" t="s">
        <v>498</v>
      </c>
      <c r="C1359" t="s">
        <v>19</v>
      </c>
      <c r="D1359">
        <v>33</v>
      </c>
      <c r="E1359" t="s">
        <v>490</v>
      </c>
      <c r="F1359" t="s">
        <v>23</v>
      </c>
      <c r="G1359">
        <v>9</v>
      </c>
      <c r="H1359">
        <v>152</v>
      </c>
      <c r="I1359">
        <v>37.700000000000003</v>
      </c>
      <c r="J1359" t="s">
        <v>549</v>
      </c>
    </row>
    <row r="1360" spans="1:10" x14ac:dyDescent="0.25">
      <c r="A1360">
        <v>31</v>
      </c>
      <c r="B1360" t="s">
        <v>542</v>
      </c>
      <c r="C1360" t="s">
        <v>15</v>
      </c>
      <c r="D1360">
        <v>19</v>
      </c>
      <c r="E1360" t="s">
        <v>522</v>
      </c>
      <c r="F1360" t="s">
        <v>25</v>
      </c>
      <c r="G1360">
        <v>95</v>
      </c>
      <c r="H1360">
        <v>1660</v>
      </c>
      <c r="I1360">
        <v>36.5</v>
      </c>
      <c r="J1360" t="s">
        <v>549</v>
      </c>
    </row>
    <row r="1361" spans="1:10" x14ac:dyDescent="0.25">
      <c r="A1361">
        <v>31</v>
      </c>
      <c r="B1361" t="s">
        <v>542</v>
      </c>
      <c r="C1361" t="s">
        <v>15</v>
      </c>
      <c r="D1361">
        <v>26</v>
      </c>
      <c r="E1361" t="s">
        <v>519</v>
      </c>
      <c r="F1361" t="s">
        <v>25</v>
      </c>
      <c r="G1361">
        <v>17</v>
      </c>
      <c r="H1361">
        <v>203</v>
      </c>
      <c r="I1361">
        <v>53.3</v>
      </c>
      <c r="J1361" t="s">
        <v>549</v>
      </c>
    </row>
    <row r="1362" spans="1:10" x14ac:dyDescent="0.25">
      <c r="A1362">
        <v>30</v>
      </c>
      <c r="B1362" t="s">
        <v>543</v>
      </c>
      <c r="C1362" t="s">
        <v>15</v>
      </c>
      <c r="D1362">
        <v>32</v>
      </c>
      <c r="E1362" t="s">
        <v>507</v>
      </c>
      <c r="F1362" t="s">
        <v>28</v>
      </c>
      <c r="G1362">
        <v>13</v>
      </c>
      <c r="H1362">
        <v>133</v>
      </c>
      <c r="I1362">
        <v>62.3</v>
      </c>
      <c r="J1362" t="s">
        <v>549</v>
      </c>
    </row>
    <row r="1363" spans="1:10" x14ac:dyDescent="0.25">
      <c r="A1363">
        <v>30</v>
      </c>
      <c r="B1363" t="s">
        <v>543</v>
      </c>
      <c r="C1363" t="s">
        <v>15</v>
      </c>
      <c r="D1363">
        <v>33</v>
      </c>
      <c r="E1363" t="s">
        <v>490</v>
      </c>
      <c r="F1363" t="s">
        <v>23</v>
      </c>
      <c r="G1363">
        <v>10</v>
      </c>
      <c r="H1363">
        <v>142</v>
      </c>
      <c r="I1363">
        <v>44.9</v>
      </c>
      <c r="J1363" t="s">
        <v>549</v>
      </c>
    </row>
    <row r="1364" spans="1:10" x14ac:dyDescent="0.25">
      <c r="A1364">
        <v>31</v>
      </c>
      <c r="B1364" t="s">
        <v>542</v>
      </c>
      <c r="C1364" t="s">
        <v>15</v>
      </c>
      <c r="D1364">
        <v>33</v>
      </c>
      <c r="E1364" t="s">
        <v>490</v>
      </c>
      <c r="F1364" t="s">
        <v>23</v>
      </c>
      <c r="G1364">
        <v>20</v>
      </c>
      <c r="H1364">
        <v>142</v>
      </c>
      <c r="I1364">
        <v>89.7</v>
      </c>
      <c r="J1364" t="s">
        <v>549</v>
      </c>
    </row>
    <row r="1365" spans="1:10" x14ac:dyDescent="0.25">
      <c r="A1365">
        <v>31</v>
      </c>
      <c r="B1365" t="s">
        <v>542</v>
      </c>
      <c r="C1365" t="s">
        <v>15</v>
      </c>
      <c r="D1365">
        <v>34</v>
      </c>
      <c r="E1365" t="s">
        <v>467</v>
      </c>
      <c r="F1365" t="s">
        <v>17</v>
      </c>
      <c r="G1365">
        <v>20</v>
      </c>
      <c r="H1365">
        <v>239</v>
      </c>
      <c r="I1365">
        <v>53.3</v>
      </c>
      <c r="J1365" t="s">
        <v>549</v>
      </c>
    </row>
    <row r="1366" spans="1:10" x14ac:dyDescent="0.25">
      <c r="A1366">
        <v>31</v>
      </c>
      <c r="B1366" t="s">
        <v>542</v>
      </c>
      <c r="C1366" t="s">
        <v>15</v>
      </c>
      <c r="D1366">
        <v>28</v>
      </c>
      <c r="E1366" t="s">
        <v>477</v>
      </c>
      <c r="F1366" t="s">
        <v>25</v>
      </c>
      <c r="G1366">
        <v>10</v>
      </c>
      <c r="H1366">
        <v>49</v>
      </c>
      <c r="I1366">
        <v>130</v>
      </c>
      <c r="J1366" t="s">
        <v>549</v>
      </c>
    </row>
    <row r="1367" spans="1:10" x14ac:dyDescent="0.25">
      <c r="A1367">
        <v>31</v>
      </c>
      <c r="B1367" t="s">
        <v>542</v>
      </c>
      <c r="C1367" t="s">
        <v>15</v>
      </c>
      <c r="D1367">
        <v>29</v>
      </c>
      <c r="E1367" t="s">
        <v>472</v>
      </c>
      <c r="F1367" t="s">
        <v>23</v>
      </c>
      <c r="G1367">
        <v>28</v>
      </c>
      <c r="H1367">
        <v>225</v>
      </c>
      <c r="I1367">
        <v>79.3</v>
      </c>
      <c r="J1367" t="s">
        <v>549</v>
      </c>
    </row>
    <row r="1368" spans="1:10" x14ac:dyDescent="0.25">
      <c r="A1368">
        <v>29</v>
      </c>
      <c r="B1368" t="s">
        <v>521</v>
      </c>
      <c r="C1368" t="s">
        <v>26</v>
      </c>
      <c r="D1368">
        <v>34</v>
      </c>
      <c r="E1368" t="s">
        <v>467</v>
      </c>
      <c r="F1368" t="s">
        <v>17</v>
      </c>
      <c r="G1368">
        <v>16</v>
      </c>
      <c r="H1368">
        <v>188</v>
      </c>
      <c r="I1368">
        <v>54.2</v>
      </c>
      <c r="J1368" t="s">
        <v>549</v>
      </c>
    </row>
    <row r="1369" spans="1:10" x14ac:dyDescent="0.25">
      <c r="A1369">
        <v>1</v>
      </c>
      <c r="B1369" t="s">
        <v>461</v>
      </c>
      <c r="C1369" t="s">
        <v>21</v>
      </c>
      <c r="D1369">
        <v>26</v>
      </c>
      <c r="E1369" t="s">
        <v>519</v>
      </c>
      <c r="F1369" t="s">
        <v>25</v>
      </c>
      <c r="G1369">
        <v>13</v>
      </c>
      <c r="H1369">
        <v>91</v>
      </c>
      <c r="I1369">
        <v>91</v>
      </c>
      <c r="J1369" t="s">
        <v>549</v>
      </c>
    </row>
    <row r="1370" spans="1:10" x14ac:dyDescent="0.25">
      <c r="A1370">
        <v>1</v>
      </c>
      <c r="B1370" t="s">
        <v>461</v>
      </c>
      <c r="C1370" t="s">
        <v>21</v>
      </c>
      <c r="D1370">
        <v>27</v>
      </c>
      <c r="E1370" t="s">
        <v>526</v>
      </c>
      <c r="F1370" t="s">
        <v>25</v>
      </c>
      <c r="G1370">
        <v>33</v>
      </c>
      <c r="H1370">
        <v>477</v>
      </c>
      <c r="I1370">
        <v>44.1</v>
      </c>
      <c r="J1370" t="s">
        <v>549</v>
      </c>
    </row>
    <row r="1371" spans="1:10" x14ac:dyDescent="0.25">
      <c r="A1371">
        <v>1</v>
      </c>
      <c r="B1371" t="s">
        <v>461</v>
      </c>
      <c r="C1371" t="s">
        <v>21</v>
      </c>
      <c r="D1371">
        <v>28</v>
      </c>
      <c r="E1371" t="s">
        <v>477</v>
      </c>
      <c r="F1371" t="s">
        <v>25</v>
      </c>
      <c r="G1371">
        <v>10</v>
      </c>
      <c r="H1371">
        <v>117</v>
      </c>
      <c r="I1371">
        <v>54.4</v>
      </c>
      <c r="J1371" t="s">
        <v>549</v>
      </c>
    </row>
    <row r="1372" spans="1:10" x14ac:dyDescent="0.25">
      <c r="A1372">
        <v>1</v>
      </c>
      <c r="B1372" t="s">
        <v>461</v>
      </c>
      <c r="C1372" t="s">
        <v>21</v>
      </c>
      <c r="D1372">
        <v>20</v>
      </c>
      <c r="E1372" t="s">
        <v>533</v>
      </c>
      <c r="F1372" t="s">
        <v>28</v>
      </c>
      <c r="G1372">
        <v>11</v>
      </c>
      <c r="H1372">
        <v>75</v>
      </c>
      <c r="I1372">
        <v>93.4</v>
      </c>
      <c r="J1372" t="s">
        <v>549</v>
      </c>
    </row>
    <row r="1373" spans="1:10" x14ac:dyDescent="0.25">
      <c r="A1373">
        <v>1</v>
      </c>
      <c r="B1373" t="s">
        <v>461</v>
      </c>
      <c r="C1373" t="s">
        <v>21</v>
      </c>
      <c r="D1373">
        <v>4</v>
      </c>
      <c r="E1373" t="s">
        <v>504</v>
      </c>
      <c r="F1373" t="s">
        <v>14</v>
      </c>
      <c r="G1373">
        <v>6</v>
      </c>
      <c r="H1373">
        <v>78</v>
      </c>
      <c r="I1373">
        <v>49</v>
      </c>
      <c r="J1373" t="s">
        <v>549</v>
      </c>
    </row>
    <row r="1374" spans="1:10" x14ac:dyDescent="0.25">
      <c r="A1374">
        <v>1</v>
      </c>
      <c r="B1374" t="s">
        <v>461</v>
      </c>
      <c r="C1374" t="s">
        <v>21</v>
      </c>
      <c r="D1374">
        <v>6</v>
      </c>
      <c r="E1374" t="s">
        <v>527</v>
      </c>
      <c r="F1374" t="s">
        <v>17</v>
      </c>
      <c r="G1374">
        <v>79</v>
      </c>
      <c r="H1374">
        <v>580</v>
      </c>
      <c r="I1374">
        <v>86.8</v>
      </c>
      <c r="J1374" t="s">
        <v>549</v>
      </c>
    </row>
    <row r="1375" spans="1:10" x14ac:dyDescent="0.25">
      <c r="A1375">
        <v>1</v>
      </c>
      <c r="B1375" t="s">
        <v>461</v>
      </c>
      <c r="C1375" t="s">
        <v>21</v>
      </c>
      <c r="D1375">
        <v>35</v>
      </c>
      <c r="E1375" t="s">
        <v>539</v>
      </c>
      <c r="F1375" t="s">
        <v>14</v>
      </c>
      <c r="G1375">
        <v>12</v>
      </c>
      <c r="H1375">
        <v>124</v>
      </c>
      <c r="I1375">
        <v>61.6</v>
      </c>
      <c r="J1375" t="s">
        <v>549</v>
      </c>
    </row>
    <row r="1376" spans="1:10" x14ac:dyDescent="0.25">
      <c r="A1376">
        <v>2</v>
      </c>
      <c r="B1376" t="s">
        <v>465</v>
      </c>
      <c r="C1376" t="s">
        <v>21</v>
      </c>
      <c r="D1376">
        <v>32</v>
      </c>
      <c r="E1376" t="s">
        <v>507</v>
      </c>
      <c r="F1376" t="s">
        <v>28</v>
      </c>
      <c r="G1376">
        <v>10</v>
      </c>
      <c r="H1376">
        <v>86</v>
      </c>
      <c r="I1376">
        <v>74.099999999999994</v>
      </c>
      <c r="J1376" t="s">
        <v>549</v>
      </c>
    </row>
    <row r="1377" spans="1:10" x14ac:dyDescent="0.25">
      <c r="A1377">
        <v>2</v>
      </c>
      <c r="B1377" t="s">
        <v>465</v>
      </c>
      <c r="C1377" t="s">
        <v>21</v>
      </c>
      <c r="D1377">
        <v>33</v>
      </c>
      <c r="E1377" t="s">
        <v>490</v>
      </c>
      <c r="F1377" t="s">
        <v>23</v>
      </c>
      <c r="G1377">
        <v>11</v>
      </c>
      <c r="H1377">
        <v>85</v>
      </c>
      <c r="I1377">
        <v>82.4</v>
      </c>
      <c r="J1377" t="s">
        <v>549</v>
      </c>
    </row>
    <row r="1378" spans="1:10" x14ac:dyDescent="0.25">
      <c r="A1378">
        <v>2</v>
      </c>
      <c r="B1378" t="s">
        <v>465</v>
      </c>
      <c r="C1378" t="s">
        <v>21</v>
      </c>
      <c r="D1378">
        <v>34</v>
      </c>
      <c r="E1378" t="s">
        <v>467</v>
      </c>
      <c r="F1378" t="s">
        <v>17</v>
      </c>
      <c r="G1378">
        <v>18</v>
      </c>
      <c r="H1378">
        <v>211</v>
      </c>
      <c r="I1378">
        <v>54.3</v>
      </c>
      <c r="J1378" t="s">
        <v>549</v>
      </c>
    </row>
    <row r="1379" spans="1:10" x14ac:dyDescent="0.25">
      <c r="A1379">
        <v>2</v>
      </c>
      <c r="B1379" t="s">
        <v>465</v>
      </c>
      <c r="C1379" t="s">
        <v>21</v>
      </c>
      <c r="D1379">
        <v>30</v>
      </c>
      <c r="E1379" t="s">
        <v>530</v>
      </c>
      <c r="F1379" t="s">
        <v>14</v>
      </c>
      <c r="G1379">
        <v>50</v>
      </c>
      <c r="H1379">
        <v>825</v>
      </c>
      <c r="I1379">
        <v>38.6</v>
      </c>
      <c r="J1379" t="s">
        <v>549</v>
      </c>
    </row>
    <row r="1380" spans="1:10" x14ac:dyDescent="0.25">
      <c r="A1380">
        <v>2</v>
      </c>
      <c r="B1380" t="s">
        <v>465</v>
      </c>
      <c r="C1380" t="s">
        <v>21</v>
      </c>
      <c r="D1380">
        <v>26</v>
      </c>
      <c r="E1380" t="s">
        <v>519</v>
      </c>
      <c r="F1380" t="s">
        <v>25</v>
      </c>
      <c r="G1380">
        <v>12</v>
      </c>
      <c r="H1380">
        <v>68</v>
      </c>
      <c r="I1380">
        <v>112.4</v>
      </c>
      <c r="J1380" t="s">
        <v>549</v>
      </c>
    </row>
    <row r="1381" spans="1:10" x14ac:dyDescent="0.25">
      <c r="A1381">
        <v>2</v>
      </c>
      <c r="B1381" t="s">
        <v>465</v>
      </c>
      <c r="C1381" t="s">
        <v>21</v>
      </c>
      <c r="D1381">
        <v>27</v>
      </c>
      <c r="E1381" t="s">
        <v>526</v>
      </c>
      <c r="F1381" t="s">
        <v>25</v>
      </c>
      <c r="G1381">
        <v>30</v>
      </c>
      <c r="H1381">
        <v>434</v>
      </c>
      <c r="I1381">
        <v>44</v>
      </c>
      <c r="J1381" t="s">
        <v>549</v>
      </c>
    </row>
    <row r="1382" spans="1:10" x14ac:dyDescent="0.25">
      <c r="A1382">
        <v>2</v>
      </c>
      <c r="B1382" t="s">
        <v>465</v>
      </c>
      <c r="C1382" t="s">
        <v>21</v>
      </c>
      <c r="D1382">
        <v>23</v>
      </c>
      <c r="E1382" t="s">
        <v>506</v>
      </c>
      <c r="F1382" t="s">
        <v>23</v>
      </c>
      <c r="G1382">
        <v>8</v>
      </c>
      <c r="H1382">
        <v>80</v>
      </c>
      <c r="I1382">
        <v>63.7</v>
      </c>
      <c r="J1382" t="s">
        <v>549</v>
      </c>
    </row>
    <row r="1383" spans="1:10" x14ac:dyDescent="0.25">
      <c r="A1383">
        <v>2</v>
      </c>
      <c r="B1383" t="s">
        <v>465</v>
      </c>
      <c r="C1383" t="s">
        <v>21</v>
      </c>
      <c r="D1383">
        <v>24</v>
      </c>
      <c r="E1383" t="s">
        <v>524</v>
      </c>
      <c r="F1383" t="s">
        <v>28</v>
      </c>
      <c r="G1383">
        <v>39</v>
      </c>
      <c r="H1383">
        <v>497</v>
      </c>
      <c r="I1383">
        <v>50</v>
      </c>
      <c r="J1383" t="s">
        <v>549</v>
      </c>
    </row>
    <row r="1384" spans="1:10" x14ac:dyDescent="0.25">
      <c r="A1384">
        <v>2</v>
      </c>
      <c r="B1384" t="s">
        <v>465</v>
      </c>
      <c r="C1384" t="s">
        <v>21</v>
      </c>
      <c r="D1384">
        <v>14</v>
      </c>
      <c r="E1384" t="s">
        <v>482</v>
      </c>
      <c r="F1384" t="s">
        <v>14</v>
      </c>
      <c r="G1384">
        <v>21</v>
      </c>
      <c r="H1384">
        <v>357</v>
      </c>
      <c r="I1384">
        <v>37.5</v>
      </c>
      <c r="J1384" t="s">
        <v>549</v>
      </c>
    </row>
    <row r="1385" spans="1:10" x14ac:dyDescent="0.25">
      <c r="A1385">
        <v>3</v>
      </c>
      <c r="B1385" t="s">
        <v>470</v>
      </c>
      <c r="C1385" t="s">
        <v>26</v>
      </c>
      <c r="D1385">
        <v>10</v>
      </c>
      <c r="E1385" t="s">
        <v>534</v>
      </c>
      <c r="F1385" t="s">
        <v>23</v>
      </c>
      <c r="G1385">
        <v>54</v>
      </c>
      <c r="H1385">
        <v>502</v>
      </c>
      <c r="I1385">
        <v>68.5</v>
      </c>
      <c r="J1385" t="s">
        <v>549</v>
      </c>
    </row>
    <row r="1386" spans="1:10" x14ac:dyDescent="0.25">
      <c r="A1386">
        <v>3</v>
      </c>
      <c r="B1386" t="s">
        <v>470</v>
      </c>
      <c r="C1386" t="s">
        <v>26</v>
      </c>
      <c r="D1386">
        <v>11</v>
      </c>
      <c r="E1386" t="s">
        <v>469</v>
      </c>
      <c r="F1386" t="s">
        <v>25</v>
      </c>
      <c r="G1386">
        <v>13</v>
      </c>
      <c r="H1386">
        <v>231</v>
      </c>
      <c r="I1386">
        <v>35.799999999999997</v>
      </c>
      <c r="J1386" t="s">
        <v>549</v>
      </c>
    </row>
    <row r="1387" spans="1:10" x14ac:dyDescent="0.25">
      <c r="A1387">
        <v>3</v>
      </c>
      <c r="B1387" t="s">
        <v>470</v>
      </c>
      <c r="C1387" t="s">
        <v>26</v>
      </c>
      <c r="D1387">
        <v>26</v>
      </c>
      <c r="E1387" t="s">
        <v>519</v>
      </c>
      <c r="F1387" t="s">
        <v>25</v>
      </c>
      <c r="G1387">
        <v>13</v>
      </c>
      <c r="H1387">
        <v>71</v>
      </c>
      <c r="I1387">
        <v>116.6</v>
      </c>
      <c r="J1387" t="s">
        <v>549</v>
      </c>
    </row>
    <row r="1388" spans="1:10" x14ac:dyDescent="0.25">
      <c r="A1388">
        <v>3</v>
      </c>
      <c r="B1388" t="s">
        <v>470</v>
      </c>
      <c r="C1388" t="s">
        <v>26</v>
      </c>
      <c r="D1388">
        <v>23</v>
      </c>
      <c r="E1388" t="s">
        <v>506</v>
      </c>
      <c r="F1388" t="s">
        <v>23</v>
      </c>
      <c r="G1388">
        <v>13</v>
      </c>
      <c r="H1388">
        <v>140</v>
      </c>
      <c r="I1388">
        <v>59.2</v>
      </c>
      <c r="J1388" t="s">
        <v>549</v>
      </c>
    </row>
    <row r="1389" spans="1:10" x14ac:dyDescent="0.25">
      <c r="A1389">
        <v>3</v>
      </c>
      <c r="B1389" t="s">
        <v>470</v>
      </c>
      <c r="C1389" t="s">
        <v>26</v>
      </c>
      <c r="D1389">
        <v>18</v>
      </c>
      <c r="E1389" t="s">
        <v>532</v>
      </c>
      <c r="F1389" t="s">
        <v>23</v>
      </c>
      <c r="G1389">
        <v>52</v>
      </c>
      <c r="H1389">
        <v>779</v>
      </c>
      <c r="I1389">
        <v>42.5</v>
      </c>
      <c r="J1389" t="s">
        <v>549</v>
      </c>
    </row>
    <row r="1390" spans="1:10" x14ac:dyDescent="0.25">
      <c r="A1390">
        <v>4</v>
      </c>
      <c r="B1390" t="s">
        <v>473</v>
      </c>
      <c r="C1390" t="s">
        <v>19</v>
      </c>
      <c r="D1390">
        <v>20</v>
      </c>
      <c r="E1390" t="s">
        <v>533</v>
      </c>
      <c r="F1390" t="s">
        <v>28</v>
      </c>
      <c r="G1390">
        <v>13</v>
      </c>
      <c r="H1390">
        <v>222</v>
      </c>
      <c r="I1390">
        <v>37.299999999999997</v>
      </c>
      <c r="J1390" t="s">
        <v>549</v>
      </c>
    </row>
    <row r="1391" spans="1:10" x14ac:dyDescent="0.25">
      <c r="A1391">
        <v>4</v>
      </c>
      <c r="B1391" t="s">
        <v>473</v>
      </c>
      <c r="C1391" t="s">
        <v>19</v>
      </c>
      <c r="D1391">
        <v>26</v>
      </c>
      <c r="E1391" t="s">
        <v>519</v>
      </c>
      <c r="F1391" t="s">
        <v>25</v>
      </c>
      <c r="G1391">
        <v>10</v>
      </c>
      <c r="H1391">
        <v>116</v>
      </c>
      <c r="I1391">
        <v>54.9</v>
      </c>
      <c r="J1391" t="s">
        <v>549</v>
      </c>
    </row>
    <row r="1392" spans="1:10" x14ac:dyDescent="0.25">
      <c r="A1392">
        <v>4</v>
      </c>
      <c r="B1392" t="s">
        <v>473</v>
      </c>
      <c r="C1392" t="s">
        <v>19</v>
      </c>
      <c r="D1392">
        <v>27</v>
      </c>
      <c r="E1392" t="s">
        <v>526</v>
      </c>
      <c r="F1392" t="s">
        <v>25</v>
      </c>
      <c r="G1392">
        <v>19</v>
      </c>
      <c r="H1392">
        <v>315</v>
      </c>
      <c r="I1392">
        <v>38.4</v>
      </c>
      <c r="J1392" t="s">
        <v>549</v>
      </c>
    </row>
    <row r="1393" spans="1:10" x14ac:dyDescent="0.25">
      <c r="A1393">
        <v>4</v>
      </c>
      <c r="B1393" t="s">
        <v>473</v>
      </c>
      <c r="C1393" t="s">
        <v>19</v>
      </c>
      <c r="D1393">
        <v>28</v>
      </c>
      <c r="E1393" t="s">
        <v>477</v>
      </c>
      <c r="F1393" t="s">
        <v>25</v>
      </c>
      <c r="G1393">
        <v>6</v>
      </c>
      <c r="H1393">
        <v>55</v>
      </c>
      <c r="I1393">
        <v>69.5</v>
      </c>
      <c r="J1393" t="s">
        <v>549</v>
      </c>
    </row>
    <row r="1394" spans="1:10" x14ac:dyDescent="0.25">
      <c r="A1394">
        <v>4</v>
      </c>
      <c r="B1394" t="s">
        <v>473</v>
      </c>
      <c r="C1394" t="s">
        <v>19</v>
      </c>
      <c r="D1394">
        <v>29</v>
      </c>
      <c r="E1394" t="s">
        <v>472</v>
      </c>
      <c r="F1394" t="s">
        <v>23</v>
      </c>
      <c r="G1394">
        <v>20</v>
      </c>
      <c r="H1394">
        <v>107</v>
      </c>
      <c r="I1394">
        <v>119.1</v>
      </c>
      <c r="J1394" t="s">
        <v>549</v>
      </c>
    </row>
    <row r="1395" spans="1:10" x14ac:dyDescent="0.25">
      <c r="A1395">
        <v>4</v>
      </c>
      <c r="B1395" t="s">
        <v>473</v>
      </c>
      <c r="C1395" t="s">
        <v>19</v>
      </c>
      <c r="D1395">
        <v>23</v>
      </c>
      <c r="E1395" t="s">
        <v>506</v>
      </c>
      <c r="F1395" t="s">
        <v>23</v>
      </c>
      <c r="G1395">
        <v>26</v>
      </c>
      <c r="H1395">
        <v>192</v>
      </c>
      <c r="I1395">
        <v>86.3</v>
      </c>
      <c r="J1395" t="s">
        <v>549</v>
      </c>
    </row>
    <row r="1396" spans="1:10" x14ac:dyDescent="0.25">
      <c r="A1396">
        <v>3</v>
      </c>
      <c r="B1396" t="s">
        <v>470</v>
      </c>
      <c r="C1396" t="s">
        <v>26</v>
      </c>
      <c r="D1396">
        <v>28</v>
      </c>
      <c r="E1396" t="s">
        <v>477</v>
      </c>
      <c r="F1396" t="s">
        <v>25</v>
      </c>
      <c r="G1396">
        <v>10</v>
      </c>
      <c r="H1396">
        <v>61</v>
      </c>
      <c r="I1396">
        <v>104.4</v>
      </c>
      <c r="J1396" t="s">
        <v>549</v>
      </c>
    </row>
    <row r="1397" spans="1:10" x14ac:dyDescent="0.25">
      <c r="A1397">
        <v>5</v>
      </c>
      <c r="B1397" t="s">
        <v>474</v>
      </c>
      <c r="C1397" t="s">
        <v>19</v>
      </c>
      <c r="D1397">
        <v>7</v>
      </c>
      <c r="E1397" t="s">
        <v>528</v>
      </c>
      <c r="F1397" t="s">
        <v>28</v>
      </c>
      <c r="G1397">
        <v>30</v>
      </c>
      <c r="H1397">
        <v>420</v>
      </c>
      <c r="I1397">
        <v>45.5</v>
      </c>
      <c r="J1397" t="s">
        <v>549</v>
      </c>
    </row>
    <row r="1398" spans="1:10" x14ac:dyDescent="0.25">
      <c r="A1398">
        <v>5</v>
      </c>
      <c r="B1398" t="s">
        <v>474</v>
      </c>
      <c r="C1398" t="s">
        <v>19</v>
      </c>
      <c r="D1398">
        <v>10</v>
      </c>
      <c r="E1398" t="s">
        <v>534</v>
      </c>
      <c r="F1398" t="s">
        <v>23</v>
      </c>
      <c r="G1398">
        <v>39</v>
      </c>
      <c r="H1398">
        <v>399</v>
      </c>
      <c r="I1398">
        <v>62.3</v>
      </c>
      <c r="J1398" t="s">
        <v>549</v>
      </c>
    </row>
    <row r="1399" spans="1:10" x14ac:dyDescent="0.25">
      <c r="A1399">
        <v>5</v>
      </c>
      <c r="B1399" t="s">
        <v>474</v>
      </c>
      <c r="C1399" t="s">
        <v>19</v>
      </c>
      <c r="D1399">
        <v>24</v>
      </c>
      <c r="E1399" t="s">
        <v>524</v>
      </c>
      <c r="F1399" t="s">
        <v>28</v>
      </c>
      <c r="G1399">
        <v>60</v>
      </c>
      <c r="H1399">
        <v>296</v>
      </c>
      <c r="I1399">
        <v>129.1</v>
      </c>
      <c r="J1399" t="s">
        <v>549</v>
      </c>
    </row>
    <row r="1400" spans="1:10" x14ac:dyDescent="0.25">
      <c r="A1400">
        <v>5</v>
      </c>
      <c r="B1400" t="s">
        <v>474</v>
      </c>
      <c r="C1400" t="s">
        <v>19</v>
      </c>
      <c r="D1400">
        <v>29</v>
      </c>
      <c r="E1400" t="s">
        <v>472</v>
      </c>
      <c r="F1400" t="s">
        <v>23</v>
      </c>
      <c r="G1400">
        <v>8</v>
      </c>
      <c r="H1400">
        <v>48</v>
      </c>
      <c r="I1400">
        <v>106.2</v>
      </c>
      <c r="J1400" t="s">
        <v>549</v>
      </c>
    </row>
    <row r="1401" spans="1:10" x14ac:dyDescent="0.25">
      <c r="A1401">
        <v>5</v>
      </c>
      <c r="B1401" t="s">
        <v>474</v>
      </c>
      <c r="C1401" t="s">
        <v>19</v>
      </c>
      <c r="D1401">
        <v>30</v>
      </c>
      <c r="E1401" t="s">
        <v>530</v>
      </c>
      <c r="F1401" t="s">
        <v>14</v>
      </c>
      <c r="G1401">
        <v>39</v>
      </c>
      <c r="H1401">
        <v>633</v>
      </c>
      <c r="I1401">
        <v>39.200000000000003</v>
      </c>
      <c r="J1401" t="s">
        <v>549</v>
      </c>
    </row>
    <row r="1402" spans="1:10" x14ac:dyDescent="0.25">
      <c r="A1402">
        <v>5</v>
      </c>
      <c r="B1402" t="s">
        <v>474</v>
      </c>
      <c r="C1402" t="s">
        <v>19</v>
      </c>
      <c r="D1402">
        <v>31</v>
      </c>
      <c r="E1402" t="s">
        <v>496</v>
      </c>
      <c r="F1402" t="s">
        <v>28</v>
      </c>
      <c r="G1402">
        <v>31</v>
      </c>
      <c r="H1402">
        <v>560</v>
      </c>
      <c r="I1402">
        <v>35.299999999999997</v>
      </c>
      <c r="J1402" t="s">
        <v>549</v>
      </c>
    </row>
    <row r="1403" spans="1:10" x14ac:dyDescent="0.25">
      <c r="A1403">
        <v>5</v>
      </c>
      <c r="B1403" t="s">
        <v>474</v>
      </c>
      <c r="C1403" t="s">
        <v>19</v>
      </c>
      <c r="D1403">
        <v>32</v>
      </c>
      <c r="E1403" t="s">
        <v>507</v>
      </c>
      <c r="F1403" t="s">
        <v>28</v>
      </c>
      <c r="G1403">
        <v>10</v>
      </c>
      <c r="H1403">
        <v>144</v>
      </c>
      <c r="I1403">
        <v>44.2</v>
      </c>
      <c r="J1403" t="s">
        <v>549</v>
      </c>
    </row>
    <row r="1404" spans="1:10" x14ac:dyDescent="0.25">
      <c r="A1404">
        <v>5</v>
      </c>
      <c r="B1404" t="s">
        <v>474</v>
      </c>
      <c r="C1404" t="s">
        <v>19</v>
      </c>
      <c r="D1404">
        <v>33</v>
      </c>
      <c r="E1404" t="s">
        <v>490</v>
      </c>
      <c r="F1404" t="s">
        <v>23</v>
      </c>
      <c r="G1404">
        <v>17</v>
      </c>
      <c r="H1404">
        <v>136</v>
      </c>
      <c r="I1404">
        <v>79.599999999999994</v>
      </c>
      <c r="J1404" t="s">
        <v>549</v>
      </c>
    </row>
    <row r="1405" spans="1:10" x14ac:dyDescent="0.25">
      <c r="A1405">
        <v>5</v>
      </c>
      <c r="B1405" t="s">
        <v>474</v>
      </c>
      <c r="C1405" t="s">
        <v>19</v>
      </c>
      <c r="D1405">
        <v>34</v>
      </c>
      <c r="E1405" t="s">
        <v>467</v>
      </c>
      <c r="F1405" t="s">
        <v>17</v>
      </c>
      <c r="G1405">
        <v>10</v>
      </c>
      <c r="H1405">
        <v>136</v>
      </c>
      <c r="I1405">
        <v>46.8</v>
      </c>
      <c r="J1405" t="s">
        <v>549</v>
      </c>
    </row>
    <row r="1406" spans="1:10" x14ac:dyDescent="0.25">
      <c r="A1406">
        <v>6</v>
      </c>
      <c r="B1406" t="s">
        <v>478</v>
      </c>
      <c r="C1406" t="s">
        <v>26</v>
      </c>
      <c r="D1406">
        <v>17</v>
      </c>
      <c r="E1406" t="s">
        <v>531</v>
      </c>
      <c r="F1406" t="s">
        <v>25</v>
      </c>
      <c r="G1406">
        <v>22</v>
      </c>
      <c r="H1406">
        <v>285</v>
      </c>
      <c r="I1406">
        <v>49.2</v>
      </c>
      <c r="J1406" t="s">
        <v>549</v>
      </c>
    </row>
    <row r="1407" spans="1:10" x14ac:dyDescent="0.25">
      <c r="A1407">
        <v>6</v>
      </c>
      <c r="B1407" t="s">
        <v>478</v>
      </c>
      <c r="C1407" t="s">
        <v>26</v>
      </c>
      <c r="D1407">
        <v>4</v>
      </c>
      <c r="E1407" t="s">
        <v>504</v>
      </c>
      <c r="F1407" t="s">
        <v>14</v>
      </c>
      <c r="G1407">
        <v>14</v>
      </c>
      <c r="H1407">
        <v>207</v>
      </c>
      <c r="I1407">
        <v>43.1</v>
      </c>
      <c r="J1407" t="s">
        <v>549</v>
      </c>
    </row>
    <row r="1408" spans="1:10" x14ac:dyDescent="0.25">
      <c r="A1408">
        <v>6</v>
      </c>
      <c r="B1408" t="s">
        <v>478</v>
      </c>
      <c r="C1408" t="s">
        <v>26</v>
      </c>
      <c r="D1408">
        <v>10</v>
      </c>
      <c r="E1408" t="s">
        <v>534</v>
      </c>
      <c r="F1408" t="s">
        <v>23</v>
      </c>
      <c r="G1408">
        <v>52</v>
      </c>
      <c r="H1408">
        <v>535</v>
      </c>
      <c r="I1408">
        <v>61.9</v>
      </c>
      <c r="J1408" t="s">
        <v>549</v>
      </c>
    </row>
    <row r="1409" spans="1:10" x14ac:dyDescent="0.25">
      <c r="A1409">
        <v>6</v>
      </c>
      <c r="B1409" t="s">
        <v>478</v>
      </c>
      <c r="C1409" t="s">
        <v>26</v>
      </c>
      <c r="D1409">
        <v>11</v>
      </c>
      <c r="E1409" t="s">
        <v>469</v>
      </c>
      <c r="F1409" t="s">
        <v>25</v>
      </c>
      <c r="G1409">
        <v>20</v>
      </c>
      <c r="H1409">
        <v>215</v>
      </c>
      <c r="I1409">
        <v>59.3</v>
      </c>
      <c r="J1409" t="s">
        <v>549</v>
      </c>
    </row>
    <row r="1410" spans="1:10" x14ac:dyDescent="0.25">
      <c r="A1410">
        <v>5</v>
      </c>
      <c r="B1410" t="s">
        <v>474</v>
      </c>
      <c r="C1410" t="s">
        <v>19</v>
      </c>
      <c r="D1410">
        <v>27</v>
      </c>
      <c r="E1410" t="s">
        <v>526</v>
      </c>
      <c r="F1410" t="s">
        <v>25</v>
      </c>
      <c r="G1410">
        <v>45</v>
      </c>
      <c r="H1410">
        <v>247</v>
      </c>
      <c r="I1410">
        <v>116.1</v>
      </c>
      <c r="J1410" t="s">
        <v>549</v>
      </c>
    </row>
    <row r="1411" spans="1:10" x14ac:dyDescent="0.25">
      <c r="A1411">
        <v>6</v>
      </c>
      <c r="B1411" t="s">
        <v>478</v>
      </c>
      <c r="C1411" t="s">
        <v>26</v>
      </c>
      <c r="D1411">
        <v>2</v>
      </c>
      <c r="E1411" t="s">
        <v>462</v>
      </c>
      <c r="F1411" t="s">
        <v>23</v>
      </c>
      <c r="G1411">
        <v>47</v>
      </c>
      <c r="H1411">
        <v>465</v>
      </c>
      <c r="I1411">
        <v>64.400000000000006</v>
      </c>
      <c r="J1411" t="s">
        <v>549</v>
      </c>
    </row>
    <row r="1412" spans="1:10" x14ac:dyDescent="0.25">
      <c r="A1412">
        <v>11</v>
      </c>
      <c r="B1412" t="s">
        <v>483</v>
      </c>
      <c r="C1412" t="s">
        <v>19</v>
      </c>
      <c r="D1412">
        <v>12</v>
      </c>
      <c r="E1412" t="s">
        <v>475</v>
      </c>
      <c r="F1412" t="s">
        <v>28</v>
      </c>
      <c r="G1412">
        <v>17</v>
      </c>
      <c r="H1412">
        <v>139</v>
      </c>
      <c r="I1412">
        <v>77.900000000000006</v>
      </c>
      <c r="J1412" t="s">
        <v>549</v>
      </c>
    </row>
    <row r="1413" spans="1:10" x14ac:dyDescent="0.25">
      <c r="A1413">
        <v>11</v>
      </c>
      <c r="B1413" t="s">
        <v>483</v>
      </c>
      <c r="C1413" t="s">
        <v>19</v>
      </c>
      <c r="D1413">
        <v>8</v>
      </c>
      <c r="E1413" t="s">
        <v>529</v>
      </c>
      <c r="F1413" t="s">
        <v>14</v>
      </c>
      <c r="G1413">
        <v>64</v>
      </c>
      <c r="H1413">
        <v>1063</v>
      </c>
      <c r="I1413">
        <v>38.4</v>
      </c>
      <c r="J1413" t="s">
        <v>549</v>
      </c>
    </row>
    <row r="1414" spans="1:10" x14ac:dyDescent="0.25">
      <c r="A1414">
        <v>6</v>
      </c>
      <c r="B1414" t="s">
        <v>478</v>
      </c>
      <c r="C1414" t="s">
        <v>26</v>
      </c>
      <c r="D1414">
        <v>30</v>
      </c>
      <c r="E1414" t="s">
        <v>530</v>
      </c>
      <c r="F1414" t="s">
        <v>14</v>
      </c>
      <c r="G1414">
        <v>67</v>
      </c>
      <c r="H1414">
        <v>600</v>
      </c>
      <c r="I1414">
        <v>71.099999999999994</v>
      </c>
      <c r="J1414" t="s">
        <v>549</v>
      </c>
    </row>
    <row r="1415" spans="1:10" x14ac:dyDescent="0.25">
      <c r="A1415">
        <v>10</v>
      </c>
      <c r="B1415" t="s">
        <v>541</v>
      </c>
      <c r="C1415" t="s">
        <v>19</v>
      </c>
      <c r="D1415">
        <v>29</v>
      </c>
      <c r="E1415" t="s">
        <v>472</v>
      </c>
      <c r="F1415" t="s">
        <v>23</v>
      </c>
      <c r="G1415">
        <v>12</v>
      </c>
      <c r="H1415">
        <v>99</v>
      </c>
      <c r="I1415">
        <v>77.2</v>
      </c>
      <c r="J1415" t="s">
        <v>549</v>
      </c>
    </row>
    <row r="1416" spans="1:10" x14ac:dyDescent="0.25">
      <c r="A1416">
        <v>11</v>
      </c>
      <c r="B1416" t="s">
        <v>483</v>
      </c>
      <c r="C1416" t="s">
        <v>19</v>
      </c>
      <c r="D1416">
        <v>6</v>
      </c>
      <c r="E1416" t="s">
        <v>527</v>
      </c>
      <c r="F1416" t="s">
        <v>17</v>
      </c>
      <c r="G1416">
        <v>32</v>
      </c>
      <c r="H1416">
        <v>574</v>
      </c>
      <c r="I1416">
        <v>35.5</v>
      </c>
      <c r="J1416" t="s">
        <v>549</v>
      </c>
    </row>
    <row r="1417" spans="1:10" x14ac:dyDescent="0.25">
      <c r="A1417">
        <v>10</v>
      </c>
      <c r="B1417" t="s">
        <v>541</v>
      </c>
      <c r="C1417" t="s">
        <v>19</v>
      </c>
      <c r="D1417">
        <v>32</v>
      </c>
      <c r="E1417" t="s">
        <v>507</v>
      </c>
      <c r="F1417" t="s">
        <v>28</v>
      </c>
      <c r="G1417">
        <v>13</v>
      </c>
      <c r="H1417">
        <v>171</v>
      </c>
      <c r="I1417">
        <v>48.4</v>
      </c>
      <c r="J1417" t="s">
        <v>549</v>
      </c>
    </row>
    <row r="1418" spans="1:10" x14ac:dyDescent="0.25">
      <c r="A1418">
        <v>10</v>
      </c>
      <c r="B1418" t="s">
        <v>541</v>
      </c>
      <c r="C1418" t="s">
        <v>19</v>
      </c>
      <c r="D1418">
        <v>33</v>
      </c>
      <c r="E1418" t="s">
        <v>490</v>
      </c>
      <c r="F1418" t="s">
        <v>23</v>
      </c>
      <c r="G1418">
        <v>12</v>
      </c>
      <c r="H1418">
        <v>178</v>
      </c>
      <c r="I1418">
        <v>42.9</v>
      </c>
      <c r="J1418" t="s">
        <v>549</v>
      </c>
    </row>
    <row r="1419" spans="1:10" x14ac:dyDescent="0.25">
      <c r="A1419">
        <v>10</v>
      </c>
      <c r="B1419" t="s">
        <v>541</v>
      </c>
      <c r="C1419" t="s">
        <v>19</v>
      </c>
      <c r="D1419">
        <v>34</v>
      </c>
      <c r="E1419" t="s">
        <v>467</v>
      </c>
      <c r="F1419" t="s">
        <v>17</v>
      </c>
      <c r="G1419">
        <v>16</v>
      </c>
      <c r="H1419">
        <v>239</v>
      </c>
      <c r="I1419">
        <v>42.6</v>
      </c>
      <c r="J1419" t="s">
        <v>549</v>
      </c>
    </row>
    <row r="1420" spans="1:10" x14ac:dyDescent="0.25">
      <c r="A1420">
        <v>10</v>
      </c>
      <c r="B1420" t="s">
        <v>541</v>
      </c>
      <c r="C1420" t="s">
        <v>19</v>
      </c>
      <c r="D1420">
        <v>27</v>
      </c>
      <c r="E1420" t="s">
        <v>526</v>
      </c>
      <c r="F1420" t="s">
        <v>25</v>
      </c>
      <c r="G1420">
        <v>24</v>
      </c>
      <c r="H1420">
        <v>330</v>
      </c>
      <c r="I1420">
        <v>46.3</v>
      </c>
      <c r="J1420" t="s">
        <v>549</v>
      </c>
    </row>
    <row r="1421" spans="1:10" x14ac:dyDescent="0.25">
      <c r="A1421">
        <v>10</v>
      </c>
      <c r="B1421" t="s">
        <v>541</v>
      </c>
      <c r="C1421" t="s">
        <v>19</v>
      </c>
      <c r="D1421">
        <v>12</v>
      </c>
      <c r="E1421" t="s">
        <v>475</v>
      </c>
      <c r="F1421" t="s">
        <v>28</v>
      </c>
      <c r="G1421">
        <v>15</v>
      </c>
      <c r="H1421">
        <v>167</v>
      </c>
      <c r="I1421">
        <v>57.2</v>
      </c>
      <c r="J1421" t="s">
        <v>549</v>
      </c>
    </row>
    <row r="1422" spans="1:10" x14ac:dyDescent="0.25">
      <c r="A1422">
        <v>10</v>
      </c>
      <c r="B1422" t="s">
        <v>541</v>
      </c>
      <c r="C1422" t="s">
        <v>19</v>
      </c>
      <c r="D1422">
        <v>13</v>
      </c>
      <c r="E1422" t="s">
        <v>481</v>
      </c>
      <c r="F1422" t="s">
        <v>17</v>
      </c>
      <c r="G1422">
        <v>17</v>
      </c>
      <c r="H1422">
        <v>151</v>
      </c>
      <c r="I1422">
        <v>71.7</v>
      </c>
      <c r="J1422" t="s">
        <v>549</v>
      </c>
    </row>
    <row r="1423" spans="1:10" x14ac:dyDescent="0.25">
      <c r="A1423">
        <v>10</v>
      </c>
      <c r="B1423" t="s">
        <v>541</v>
      </c>
      <c r="C1423" t="s">
        <v>19</v>
      </c>
      <c r="D1423">
        <v>4</v>
      </c>
      <c r="E1423" t="s">
        <v>504</v>
      </c>
      <c r="F1423" t="s">
        <v>14</v>
      </c>
      <c r="G1423">
        <v>17</v>
      </c>
      <c r="H1423">
        <v>144</v>
      </c>
      <c r="I1423">
        <v>75.2</v>
      </c>
      <c r="J1423" t="s">
        <v>549</v>
      </c>
    </row>
    <row r="1424" spans="1:10" x14ac:dyDescent="0.25">
      <c r="A1424">
        <v>10</v>
      </c>
      <c r="B1424" t="s">
        <v>541</v>
      </c>
      <c r="C1424" t="s">
        <v>19</v>
      </c>
      <c r="D1424">
        <v>10</v>
      </c>
      <c r="E1424" t="s">
        <v>534</v>
      </c>
      <c r="F1424" t="s">
        <v>23</v>
      </c>
      <c r="G1424">
        <v>57</v>
      </c>
      <c r="H1424">
        <v>884</v>
      </c>
      <c r="I1424">
        <v>41.1</v>
      </c>
      <c r="J1424" t="s">
        <v>549</v>
      </c>
    </row>
    <row r="1425" spans="1:10" x14ac:dyDescent="0.25">
      <c r="A1425">
        <v>10</v>
      </c>
      <c r="B1425" t="s">
        <v>541</v>
      </c>
      <c r="C1425" t="s">
        <v>19</v>
      </c>
      <c r="D1425">
        <v>2</v>
      </c>
      <c r="E1425" t="s">
        <v>462</v>
      </c>
      <c r="F1425" t="s">
        <v>23</v>
      </c>
      <c r="G1425">
        <v>17</v>
      </c>
      <c r="H1425">
        <v>72</v>
      </c>
      <c r="I1425">
        <v>150.4</v>
      </c>
      <c r="J1425" t="s">
        <v>549</v>
      </c>
    </row>
    <row r="1426" spans="1:10" x14ac:dyDescent="0.25">
      <c r="A1426">
        <v>9</v>
      </c>
      <c r="B1426" t="s">
        <v>540</v>
      </c>
      <c r="C1426" t="s">
        <v>19</v>
      </c>
      <c r="D1426">
        <v>28</v>
      </c>
      <c r="E1426" t="s">
        <v>477</v>
      </c>
      <c r="F1426" t="s">
        <v>25</v>
      </c>
      <c r="G1426">
        <v>9</v>
      </c>
      <c r="H1426">
        <v>36</v>
      </c>
      <c r="I1426">
        <v>159.30000000000001</v>
      </c>
      <c r="J1426" t="s">
        <v>549</v>
      </c>
    </row>
    <row r="1427" spans="1:10" x14ac:dyDescent="0.25">
      <c r="A1427">
        <v>9</v>
      </c>
      <c r="B1427" t="s">
        <v>540</v>
      </c>
      <c r="C1427" t="s">
        <v>19</v>
      </c>
      <c r="D1427">
        <v>29</v>
      </c>
      <c r="E1427" t="s">
        <v>472</v>
      </c>
      <c r="F1427" t="s">
        <v>23</v>
      </c>
      <c r="G1427">
        <v>8</v>
      </c>
      <c r="H1427">
        <v>137</v>
      </c>
      <c r="I1427">
        <v>37.200000000000003</v>
      </c>
      <c r="J1427" t="s">
        <v>549</v>
      </c>
    </row>
    <row r="1428" spans="1:10" x14ac:dyDescent="0.25">
      <c r="A1428">
        <v>9</v>
      </c>
      <c r="B1428" t="s">
        <v>540</v>
      </c>
      <c r="C1428" t="s">
        <v>19</v>
      </c>
      <c r="D1428">
        <v>26</v>
      </c>
      <c r="E1428" t="s">
        <v>519</v>
      </c>
      <c r="F1428" t="s">
        <v>25</v>
      </c>
      <c r="G1428">
        <v>21</v>
      </c>
      <c r="H1428">
        <v>153</v>
      </c>
      <c r="I1428">
        <v>87.4</v>
      </c>
      <c r="J1428" t="s">
        <v>549</v>
      </c>
    </row>
    <row r="1429" spans="1:10" x14ac:dyDescent="0.25">
      <c r="A1429">
        <v>9</v>
      </c>
      <c r="B1429" t="s">
        <v>540</v>
      </c>
      <c r="C1429" t="s">
        <v>19</v>
      </c>
      <c r="D1429">
        <v>22</v>
      </c>
      <c r="E1429" t="s">
        <v>536</v>
      </c>
      <c r="F1429" t="s">
        <v>14</v>
      </c>
      <c r="G1429">
        <v>9</v>
      </c>
      <c r="H1429">
        <v>114</v>
      </c>
      <c r="I1429">
        <v>50.3</v>
      </c>
      <c r="J1429" t="s">
        <v>549</v>
      </c>
    </row>
    <row r="1430" spans="1:10" x14ac:dyDescent="0.25">
      <c r="A1430">
        <v>9</v>
      </c>
      <c r="B1430" t="s">
        <v>540</v>
      </c>
      <c r="C1430" t="s">
        <v>19</v>
      </c>
      <c r="D1430">
        <v>23</v>
      </c>
      <c r="E1430" t="s">
        <v>506</v>
      </c>
      <c r="F1430" t="s">
        <v>23</v>
      </c>
      <c r="G1430">
        <v>31</v>
      </c>
      <c r="H1430">
        <v>436</v>
      </c>
      <c r="I1430">
        <v>45.3</v>
      </c>
      <c r="J1430" t="s">
        <v>549</v>
      </c>
    </row>
    <row r="1431" spans="1:10" x14ac:dyDescent="0.25">
      <c r="A1431">
        <v>9</v>
      </c>
      <c r="B1431" t="s">
        <v>540</v>
      </c>
      <c r="C1431" t="s">
        <v>19</v>
      </c>
      <c r="D1431">
        <v>13</v>
      </c>
      <c r="E1431" t="s">
        <v>481</v>
      </c>
      <c r="F1431" t="s">
        <v>17</v>
      </c>
      <c r="G1431">
        <v>19</v>
      </c>
      <c r="H1431">
        <v>231</v>
      </c>
      <c r="I1431">
        <v>52.4</v>
      </c>
      <c r="J1431" t="s">
        <v>549</v>
      </c>
    </row>
    <row r="1432" spans="1:10" x14ac:dyDescent="0.25">
      <c r="A1432">
        <v>9</v>
      </c>
      <c r="B1432" t="s">
        <v>540</v>
      </c>
      <c r="C1432" t="s">
        <v>19</v>
      </c>
      <c r="D1432">
        <v>20</v>
      </c>
      <c r="E1432" t="s">
        <v>533</v>
      </c>
      <c r="F1432" t="s">
        <v>28</v>
      </c>
      <c r="G1432">
        <v>4</v>
      </c>
      <c r="H1432">
        <v>64</v>
      </c>
      <c r="I1432">
        <v>39.799999999999997</v>
      </c>
      <c r="J1432" t="s">
        <v>549</v>
      </c>
    </row>
    <row r="1433" spans="1:10" x14ac:dyDescent="0.25">
      <c r="A1433">
        <v>9</v>
      </c>
      <c r="B1433" t="s">
        <v>540</v>
      </c>
      <c r="C1433" t="s">
        <v>19</v>
      </c>
      <c r="D1433">
        <v>10</v>
      </c>
      <c r="E1433" t="s">
        <v>534</v>
      </c>
      <c r="F1433" t="s">
        <v>23</v>
      </c>
      <c r="G1433">
        <v>69</v>
      </c>
      <c r="H1433">
        <v>497</v>
      </c>
      <c r="I1433">
        <v>88.4</v>
      </c>
      <c r="J1433" t="s">
        <v>549</v>
      </c>
    </row>
    <row r="1434" spans="1:10" x14ac:dyDescent="0.25">
      <c r="A1434">
        <v>9</v>
      </c>
      <c r="B1434" t="s">
        <v>540</v>
      </c>
      <c r="C1434" t="s">
        <v>19</v>
      </c>
      <c r="D1434">
        <v>4</v>
      </c>
      <c r="E1434" t="s">
        <v>504</v>
      </c>
      <c r="F1434" t="s">
        <v>14</v>
      </c>
      <c r="G1434">
        <v>6</v>
      </c>
      <c r="H1434">
        <v>96</v>
      </c>
      <c r="I1434">
        <v>39.799999999999997</v>
      </c>
      <c r="J1434" t="s">
        <v>549</v>
      </c>
    </row>
    <row r="1435" spans="1:10" x14ac:dyDescent="0.25">
      <c r="A1435">
        <v>8</v>
      </c>
      <c r="B1435" t="s">
        <v>480</v>
      </c>
      <c r="C1435" t="s">
        <v>19</v>
      </c>
      <c r="D1435">
        <v>32</v>
      </c>
      <c r="E1435" t="s">
        <v>507</v>
      </c>
      <c r="F1435" t="s">
        <v>28</v>
      </c>
      <c r="G1435">
        <v>7</v>
      </c>
      <c r="H1435">
        <v>80</v>
      </c>
      <c r="I1435">
        <v>55.7</v>
      </c>
      <c r="J1435" t="s">
        <v>549</v>
      </c>
    </row>
    <row r="1436" spans="1:10" x14ac:dyDescent="0.25">
      <c r="A1436">
        <v>8</v>
      </c>
      <c r="B1436" t="s">
        <v>480</v>
      </c>
      <c r="C1436" t="s">
        <v>19</v>
      </c>
      <c r="D1436">
        <v>33</v>
      </c>
      <c r="E1436" t="s">
        <v>490</v>
      </c>
      <c r="F1436" t="s">
        <v>23</v>
      </c>
      <c r="G1436">
        <v>17</v>
      </c>
      <c r="H1436">
        <v>208</v>
      </c>
      <c r="I1436">
        <v>52.1</v>
      </c>
      <c r="J1436" t="s">
        <v>549</v>
      </c>
    </row>
    <row r="1437" spans="1:10" x14ac:dyDescent="0.25">
      <c r="A1437">
        <v>8</v>
      </c>
      <c r="B1437" t="s">
        <v>480</v>
      </c>
      <c r="C1437" t="s">
        <v>19</v>
      </c>
      <c r="D1437">
        <v>34</v>
      </c>
      <c r="E1437" t="s">
        <v>467</v>
      </c>
      <c r="F1437" t="s">
        <v>17</v>
      </c>
      <c r="G1437">
        <v>18</v>
      </c>
      <c r="H1437">
        <v>160</v>
      </c>
      <c r="I1437">
        <v>71.7</v>
      </c>
      <c r="J1437" t="s">
        <v>549</v>
      </c>
    </row>
    <row r="1438" spans="1:10" x14ac:dyDescent="0.25">
      <c r="A1438">
        <v>8</v>
      </c>
      <c r="B1438" t="s">
        <v>480</v>
      </c>
      <c r="C1438" t="s">
        <v>19</v>
      </c>
      <c r="D1438">
        <v>35</v>
      </c>
      <c r="E1438" t="s">
        <v>539</v>
      </c>
      <c r="F1438" t="s">
        <v>14</v>
      </c>
      <c r="G1438">
        <v>8</v>
      </c>
      <c r="H1438">
        <v>78</v>
      </c>
      <c r="I1438">
        <v>65.3</v>
      </c>
      <c r="J1438" t="s">
        <v>549</v>
      </c>
    </row>
    <row r="1439" spans="1:10" x14ac:dyDescent="0.25">
      <c r="A1439">
        <v>6</v>
      </c>
      <c r="B1439" t="s">
        <v>478</v>
      </c>
      <c r="C1439" t="s">
        <v>26</v>
      </c>
      <c r="D1439">
        <v>32</v>
      </c>
      <c r="E1439" t="s">
        <v>507</v>
      </c>
      <c r="F1439" t="s">
        <v>28</v>
      </c>
      <c r="G1439">
        <v>7</v>
      </c>
      <c r="H1439">
        <v>42</v>
      </c>
      <c r="I1439">
        <v>106.2</v>
      </c>
      <c r="J1439" t="s">
        <v>549</v>
      </c>
    </row>
    <row r="1440" spans="1:10" x14ac:dyDescent="0.25">
      <c r="A1440">
        <v>6</v>
      </c>
      <c r="B1440" t="s">
        <v>478</v>
      </c>
      <c r="C1440" t="s">
        <v>26</v>
      </c>
      <c r="D1440">
        <v>33</v>
      </c>
      <c r="E1440" t="s">
        <v>490</v>
      </c>
      <c r="F1440" t="s">
        <v>23</v>
      </c>
      <c r="G1440">
        <v>7</v>
      </c>
      <c r="H1440">
        <v>127</v>
      </c>
      <c r="I1440">
        <v>35.1</v>
      </c>
      <c r="J1440" t="s">
        <v>549</v>
      </c>
    </row>
    <row r="1441" spans="1:10" x14ac:dyDescent="0.25">
      <c r="A1441">
        <v>7</v>
      </c>
      <c r="B1441" t="s">
        <v>479</v>
      </c>
      <c r="C1441" t="s">
        <v>19</v>
      </c>
      <c r="D1441">
        <v>5</v>
      </c>
      <c r="E1441" t="s">
        <v>464</v>
      </c>
      <c r="F1441" t="s">
        <v>14</v>
      </c>
      <c r="G1441">
        <v>19</v>
      </c>
      <c r="H1441">
        <v>324</v>
      </c>
      <c r="I1441">
        <v>37.4</v>
      </c>
      <c r="J1441" t="s">
        <v>549</v>
      </c>
    </row>
    <row r="1442" spans="1:10" x14ac:dyDescent="0.25">
      <c r="A1442">
        <v>6</v>
      </c>
      <c r="B1442" t="s">
        <v>478</v>
      </c>
      <c r="C1442" t="s">
        <v>26</v>
      </c>
      <c r="D1442">
        <v>26</v>
      </c>
      <c r="E1442" t="s">
        <v>519</v>
      </c>
      <c r="F1442" t="s">
        <v>25</v>
      </c>
      <c r="G1442">
        <v>7</v>
      </c>
      <c r="H1442">
        <v>74</v>
      </c>
      <c r="I1442">
        <v>60.3</v>
      </c>
      <c r="J1442" t="s">
        <v>549</v>
      </c>
    </row>
    <row r="1443" spans="1:10" x14ac:dyDescent="0.25">
      <c r="A1443">
        <v>6</v>
      </c>
      <c r="B1443" t="s">
        <v>478</v>
      </c>
      <c r="C1443" t="s">
        <v>26</v>
      </c>
      <c r="D1443">
        <v>27</v>
      </c>
      <c r="E1443" t="s">
        <v>526</v>
      </c>
      <c r="F1443" t="s">
        <v>25</v>
      </c>
      <c r="G1443">
        <v>37</v>
      </c>
      <c r="H1443">
        <v>362</v>
      </c>
      <c r="I1443">
        <v>65.099999999999994</v>
      </c>
      <c r="J1443" t="s">
        <v>549</v>
      </c>
    </row>
    <row r="1444" spans="1:10" x14ac:dyDescent="0.25">
      <c r="A1444">
        <v>6</v>
      </c>
      <c r="B1444" t="s">
        <v>478</v>
      </c>
      <c r="C1444" t="s">
        <v>26</v>
      </c>
      <c r="D1444">
        <v>28</v>
      </c>
      <c r="E1444" t="s">
        <v>477</v>
      </c>
      <c r="F1444" t="s">
        <v>25</v>
      </c>
      <c r="G1444">
        <v>2</v>
      </c>
      <c r="H1444">
        <v>18</v>
      </c>
      <c r="I1444">
        <v>70.8</v>
      </c>
      <c r="J1444" t="s">
        <v>549</v>
      </c>
    </row>
    <row r="1445" spans="1:10" x14ac:dyDescent="0.25">
      <c r="A1445">
        <v>6</v>
      </c>
      <c r="B1445" t="s">
        <v>478</v>
      </c>
      <c r="C1445" t="s">
        <v>26</v>
      </c>
      <c r="D1445">
        <v>20</v>
      </c>
      <c r="E1445" t="s">
        <v>533</v>
      </c>
      <c r="F1445" t="s">
        <v>28</v>
      </c>
      <c r="G1445">
        <v>9</v>
      </c>
      <c r="H1445">
        <v>85</v>
      </c>
      <c r="I1445">
        <v>67.400000000000006</v>
      </c>
      <c r="J1445" t="s">
        <v>549</v>
      </c>
    </row>
    <row r="1446" spans="1:10" x14ac:dyDescent="0.25">
      <c r="A1446">
        <v>7</v>
      </c>
      <c r="B1446" t="s">
        <v>479</v>
      </c>
      <c r="C1446" t="s">
        <v>19</v>
      </c>
      <c r="D1446">
        <v>21</v>
      </c>
      <c r="E1446" t="s">
        <v>476</v>
      </c>
      <c r="F1446" t="s">
        <v>28</v>
      </c>
      <c r="G1446">
        <v>49</v>
      </c>
      <c r="H1446">
        <v>574</v>
      </c>
      <c r="I1446">
        <v>54.4</v>
      </c>
      <c r="J1446" t="s">
        <v>549</v>
      </c>
    </row>
    <row r="1447" spans="1:10" x14ac:dyDescent="0.25">
      <c r="A1447">
        <v>7</v>
      </c>
      <c r="B1447" t="s">
        <v>479</v>
      </c>
      <c r="C1447" t="s">
        <v>19</v>
      </c>
      <c r="D1447">
        <v>26</v>
      </c>
      <c r="E1447" t="s">
        <v>519</v>
      </c>
      <c r="F1447" t="s">
        <v>25</v>
      </c>
      <c r="G1447">
        <v>16</v>
      </c>
      <c r="H1447">
        <v>96</v>
      </c>
      <c r="I1447">
        <v>106.2</v>
      </c>
      <c r="J1447" t="s">
        <v>549</v>
      </c>
    </row>
    <row r="1448" spans="1:10" x14ac:dyDescent="0.25">
      <c r="A1448">
        <v>7</v>
      </c>
      <c r="B1448" t="s">
        <v>479</v>
      </c>
      <c r="C1448" t="s">
        <v>19</v>
      </c>
      <c r="D1448">
        <v>27</v>
      </c>
      <c r="E1448" t="s">
        <v>526</v>
      </c>
      <c r="F1448" t="s">
        <v>25</v>
      </c>
      <c r="G1448">
        <v>48</v>
      </c>
      <c r="H1448">
        <v>362</v>
      </c>
      <c r="I1448">
        <v>84.5</v>
      </c>
      <c r="J1448" t="s">
        <v>549</v>
      </c>
    </row>
    <row r="1449" spans="1:10" x14ac:dyDescent="0.25">
      <c r="A1449">
        <v>7</v>
      </c>
      <c r="B1449" t="s">
        <v>479</v>
      </c>
      <c r="C1449" t="s">
        <v>19</v>
      </c>
      <c r="D1449">
        <v>12</v>
      </c>
      <c r="E1449" t="s">
        <v>475</v>
      </c>
      <c r="F1449" t="s">
        <v>28</v>
      </c>
      <c r="G1449">
        <v>38</v>
      </c>
      <c r="H1449">
        <v>235</v>
      </c>
      <c r="I1449">
        <v>103</v>
      </c>
      <c r="J1449" t="s">
        <v>549</v>
      </c>
    </row>
    <row r="1450" spans="1:10" x14ac:dyDescent="0.25">
      <c r="A1450">
        <v>7</v>
      </c>
      <c r="B1450" t="s">
        <v>479</v>
      </c>
      <c r="C1450" t="s">
        <v>19</v>
      </c>
      <c r="D1450">
        <v>35</v>
      </c>
      <c r="E1450" t="s">
        <v>539</v>
      </c>
      <c r="F1450" t="s">
        <v>14</v>
      </c>
      <c r="G1450">
        <v>17</v>
      </c>
      <c r="H1450">
        <v>121</v>
      </c>
      <c r="I1450">
        <v>89.5</v>
      </c>
      <c r="J1450" t="s">
        <v>549</v>
      </c>
    </row>
    <row r="1451" spans="1:10" x14ac:dyDescent="0.25">
      <c r="A1451">
        <v>7</v>
      </c>
      <c r="B1451" t="s">
        <v>479</v>
      </c>
      <c r="C1451" t="s">
        <v>19</v>
      </c>
      <c r="D1451">
        <v>29</v>
      </c>
      <c r="E1451" t="s">
        <v>472</v>
      </c>
      <c r="F1451" t="s">
        <v>23</v>
      </c>
      <c r="G1451">
        <v>8</v>
      </c>
      <c r="H1451">
        <v>73</v>
      </c>
      <c r="I1451">
        <v>69.8</v>
      </c>
      <c r="J1451" t="s">
        <v>549</v>
      </c>
    </row>
    <row r="1452" spans="1:10" x14ac:dyDescent="0.25">
      <c r="A1452">
        <v>8</v>
      </c>
      <c r="B1452" t="s">
        <v>480</v>
      </c>
      <c r="C1452" t="s">
        <v>19</v>
      </c>
      <c r="D1452">
        <v>4</v>
      </c>
      <c r="E1452" t="s">
        <v>504</v>
      </c>
      <c r="F1452" t="s">
        <v>14</v>
      </c>
      <c r="G1452">
        <v>18</v>
      </c>
      <c r="H1452">
        <v>125</v>
      </c>
      <c r="I1452">
        <v>91.7</v>
      </c>
      <c r="J1452" t="s">
        <v>549</v>
      </c>
    </row>
    <row r="1453" spans="1:10" x14ac:dyDescent="0.25">
      <c r="A1453">
        <v>8</v>
      </c>
      <c r="B1453" t="s">
        <v>480</v>
      </c>
      <c r="C1453" t="s">
        <v>19</v>
      </c>
      <c r="D1453">
        <v>5</v>
      </c>
      <c r="E1453" t="s">
        <v>464</v>
      </c>
      <c r="F1453" t="s">
        <v>14</v>
      </c>
      <c r="G1453">
        <v>10</v>
      </c>
      <c r="H1453">
        <v>100</v>
      </c>
      <c r="I1453">
        <v>63.7</v>
      </c>
      <c r="J1453" t="s">
        <v>549</v>
      </c>
    </row>
    <row r="1454" spans="1:10" x14ac:dyDescent="0.25">
      <c r="A1454">
        <v>8</v>
      </c>
      <c r="B1454" t="s">
        <v>480</v>
      </c>
      <c r="C1454" t="s">
        <v>19</v>
      </c>
      <c r="D1454">
        <v>10</v>
      </c>
      <c r="E1454" t="s">
        <v>534</v>
      </c>
      <c r="F1454" t="s">
        <v>23</v>
      </c>
      <c r="G1454">
        <v>54</v>
      </c>
      <c r="H1454">
        <v>216</v>
      </c>
      <c r="I1454">
        <v>159.30000000000001</v>
      </c>
      <c r="J1454" t="s">
        <v>549</v>
      </c>
    </row>
    <row r="1455" spans="1:10" x14ac:dyDescent="0.25">
      <c r="A1455">
        <v>8</v>
      </c>
      <c r="B1455" t="s">
        <v>480</v>
      </c>
      <c r="C1455" t="s">
        <v>19</v>
      </c>
      <c r="D1455">
        <v>26</v>
      </c>
      <c r="E1455" t="s">
        <v>519</v>
      </c>
      <c r="F1455" t="s">
        <v>25</v>
      </c>
      <c r="G1455">
        <v>20</v>
      </c>
      <c r="H1455">
        <v>188</v>
      </c>
      <c r="I1455">
        <v>67.8</v>
      </c>
      <c r="J1455" t="s">
        <v>549</v>
      </c>
    </row>
    <row r="1456" spans="1:10" x14ac:dyDescent="0.25">
      <c r="A1456">
        <v>8</v>
      </c>
      <c r="B1456" t="s">
        <v>480</v>
      </c>
      <c r="C1456" t="s">
        <v>19</v>
      </c>
      <c r="D1456">
        <v>27</v>
      </c>
      <c r="E1456" t="s">
        <v>526</v>
      </c>
      <c r="F1456" t="s">
        <v>25</v>
      </c>
      <c r="G1456">
        <v>47</v>
      </c>
      <c r="H1456">
        <v>267</v>
      </c>
      <c r="I1456">
        <v>112.1</v>
      </c>
      <c r="J1456" t="s">
        <v>549</v>
      </c>
    </row>
    <row r="1457" spans="1:10" x14ac:dyDescent="0.25">
      <c r="A1457">
        <v>8</v>
      </c>
      <c r="B1457" t="s">
        <v>480</v>
      </c>
      <c r="C1457" t="s">
        <v>19</v>
      </c>
      <c r="D1457">
        <v>22</v>
      </c>
      <c r="E1457" t="s">
        <v>536</v>
      </c>
      <c r="F1457" t="s">
        <v>14</v>
      </c>
      <c r="G1457">
        <v>13</v>
      </c>
      <c r="H1457">
        <v>82</v>
      </c>
      <c r="I1457">
        <v>101</v>
      </c>
      <c r="J1457" t="s">
        <v>549</v>
      </c>
    </row>
    <row r="1458" spans="1:10" x14ac:dyDescent="0.25">
      <c r="A1458">
        <v>8</v>
      </c>
      <c r="B1458" t="s">
        <v>480</v>
      </c>
      <c r="C1458" t="s">
        <v>19</v>
      </c>
      <c r="D1458">
        <v>20</v>
      </c>
      <c r="E1458" t="s">
        <v>533</v>
      </c>
      <c r="F1458" t="s">
        <v>28</v>
      </c>
      <c r="G1458">
        <v>5</v>
      </c>
      <c r="H1458">
        <v>69</v>
      </c>
      <c r="I1458">
        <v>46.2</v>
      </c>
      <c r="J1458" t="s">
        <v>549</v>
      </c>
    </row>
    <row r="1459" spans="1:10" x14ac:dyDescent="0.25">
      <c r="A1459">
        <v>8</v>
      </c>
      <c r="B1459" t="s">
        <v>480</v>
      </c>
      <c r="C1459" t="s">
        <v>19</v>
      </c>
      <c r="D1459">
        <v>16</v>
      </c>
      <c r="E1459" t="s">
        <v>513</v>
      </c>
      <c r="F1459" t="s">
        <v>14</v>
      </c>
      <c r="G1459">
        <v>8</v>
      </c>
      <c r="H1459">
        <v>92</v>
      </c>
      <c r="I1459">
        <v>55.4</v>
      </c>
      <c r="J1459" t="s">
        <v>549</v>
      </c>
    </row>
    <row r="1460" spans="1:10" x14ac:dyDescent="0.25">
      <c r="A1460">
        <v>17</v>
      </c>
      <c r="B1460" t="s">
        <v>538</v>
      </c>
      <c r="C1460" t="s">
        <v>19</v>
      </c>
      <c r="D1460">
        <v>32</v>
      </c>
      <c r="E1460" t="s">
        <v>507</v>
      </c>
      <c r="F1460" t="s">
        <v>28</v>
      </c>
      <c r="G1460">
        <v>15</v>
      </c>
      <c r="H1460">
        <v>173</v>
      </c>
      <c r="I1460">
        <v>55.2</v>
      </c>
      <c r="J1460" t="s">
        <v>549</v>
      </c>
    </row>
    <row r="1461" spans="1:10" x14ac:dyDescent="0.25">
      <c r="A1461">
        <v>17</v>
      </c>
      <c r="B1461" t="s">
        <v>538</v>
      </c>
      <c r="C1461" t="s">
        <v>19</v>
      </c>
      <c r="D1461">
        <v>33</v>
      </c>
      <c r="E1461" t="s">
        <v>490</v>
      </c>
      <c r="F1461" t="s">
        <v>23</v>
      </c>
      <c r="G1461">
        <v>27</v>
      </c>
      <c r="H1461">
        <v>246</v>
      </c>
      <c r="I1461">
        <v>69.900000000000006</v>
      </c>
      <c r="J1461" t="s">
        <v>549</v>
      </c>
    </row>
    <row r="1462" spans="1:10" x14ac:dyDescent="0.25">
      <c r="A1462">
        <v>17</v>
      </c>
      <c r="B1462" t="s">
        <v>538</v>
      </c>
      <c r="C1462" t="s">
        <v>19</v>
      </c>
      <c r="D1462">
        <v>29</v>
      </c>
      <c r="E1462" t="s">
        <v>472</v>
      </c>
      <c r="F1462" t="s">
        <v>23</v>
      </c>
      <c r="G1462">
        <v>16</v>
      </c>
      <c r="H1462">
        <v>222</v>
      </c>
      <c r="I1462">
        <v>45.9</v>
      </c>
      <c r="J1462" t="s">
        <v>549</v>
      </c>
    </row>
    <row r="1463" spans="1:10" x14ac:dyDescent="0.25">
      <c r="A1463">
        <v>17</v>
      </c>
      <c r="B1463" t="s">
        <v>538</v>
      </c>
      <c r="C1463" t="s">
        <v>19</v>
      </c>
      <c r="D1463">
        <v>26</v>
      </c>
      <c r="E1463" t="s">
        <v>519</v>
      </c>
      <c r="F1463" t="s">
        <v>25</v>
      </c>
      <c r="G1463">
        <v>25</v>
      </c>
      <c r="H1463">
        <v>223</v>
      </c>
      <c r="I1463">
        <v>71.400000000000006</v>
      </c>
      <c r="J1463" t="s">
        <v>549</v>
      </c>
    </row>
    <row r="1464" spans="1:10" x14ac:dyDescent="0.25">
      <c r="A1464">
        <v>17</v>
      </c>
      <c r="B1464" t="s">
        <v>538</v>
      </c>
      <c r="C1464" t="s">
        <v>19</v>
      </c>
      <c r="D1464">
        <v>21</v>
      </c>
      <c r="E1464" t="s">
        <v>476</v>
      </c>
      <c r="F1464" t="s">
        <v>28</v>
      </c>
      <c r="G1464">
        <v>27</v>
      </c>
      <c r="H1464">
        <v>315</v>
      </c>
      <c r="I1464">
        <v>54.6</v>
      </c>
      <c r="J1464" t="s">
        <v>549</v>
      </c>
    </row>
    <row r="1465" spans="1:10" x14ac:dyDescent="0.25">
      <c r="A1465">
        <v>17</v>
      </c>
      <c r="B1465" t="s">
        <v>538</v>
      </c>
      <c r="C1465" t="s">
        <v>19</v>
      </c>
      <c r="D1465">
        <v>23</v>
      </c>
      <c r="E1465" t="s">
        <v>506</v>
      </c>
      <c r="F1465" t="s">
        <v>23</v>
      </c>
      <c r="G1465">
        <v>13</v>
      </c>
      <c r="H1465">
        <v>177</v>
      </c>
      <c r="I1465">
        <v>46.8</v>
      </c>
      <c r="J1465" t="s">
        <v>549</v>
      </c>
    </row>
    <row r="1466" spans="1:10" x14ac:dyDescent="0.25">
      <c r="A1466">
        <v>17</v>
      </c>
      <c r="B1466" t="s">
        <v>538</v>
      </c>
      <c r="C1466" t="s">
        <v>19</v>
      </c>
      <c r="D1466">
        <v>10</v>
      </c>
      <c r="E1466" t="s">
        <v>534</v>
      </c>
      <c r="F1466" t="s">
        <v>23</v>
      </c>
      <c r="G1466">
        <v>67</v>
      </c>
      <c r="H1466">
        <v>561</v>
      </c>
      <c r="I1466">
        <v>76.099999999999994</v>
      </c>
      <c r="J1466" t="s">
        <v>549</v>
      </c>
    </row>
    <row r="1467" spans="1:10" x14ac:dyDescent="0.25">
      <c r="A1467">
        <v>16</v>
      </c>
      <c r="B1467" t="s">
        <v>487</v>
      </c>
      <c r="C1467" t="s">
        <v>19</v>
      </c>
      <c r="D1467">
        <v>35</v>
      </c>
      <c r="E1467" t="s">
        <v>539</v>
      </c>
      <c r="F1467" t="s">
        <v>14</v>
      </c>
      <c r="G1467">
        <v>6</v>
      </c>
      <c r="H1467">
        <v>60</v>
      </c>
      <c r="I1467">
        <v>63.7</v>
      </c>
      <c r="J1467" t="s">
        <v>549</v>
      </c>
    </row>
    <row r="1468" spans="1:10" x14ac:dyDescent="0.25">
      <c r="A1468">
        <v>16</v>
      </c>
      <c r="B1468" t="s">
        <v>487</v>
      </c>
      <c r="C1468" t="s">
        <v>19</v>
      </c>
      <c r="D1468">
        <v>32</v>
      </c>
      <c r="E1468" t="s">
        <v>507</v>
      </c>
      <c r="F1468" t="s">
        <v>28</v>
      </c>
      <c r="G1468">
        <v>7</v>
      </c>
      <c r="H1468">
        <v>87</v>
      </c>
      <c r="I1468">
        <v>51.3</v>
      </c>
      <c r="J1468" t="s">
        <v>549</v>
      </c>
    </row>
    <row r="1469" spans="1:10" x14ac:dyDescent="0.25">
      <c r="A1469">
        <v>12</v>
      </c>
      <c r="B1469" t="s">
        <v>535</v>
      </c>
      <c r="C1469" t="s">
        <v>19</v>
      </c>
      <c r="D1469">
        <v>24</v>
      </c>
      <c r="E1469" t="s">
        <v>524</v>
      </c>
      <c r="F1469" t="s">
        <v>28</v>
      </c>
      <c r="G1469">
        <v>34</v>
      </c>
      <c r="H1469">
        <v>542</v>
      </c>
      <c r="I1469">
        <v>40</v>
      </c>
      <c r="J1469" t="s">
        <v>549</v>
      </c>
    </row>
    <row r="1470" spans="1:10" x14ac:dyDescent="0.25">
      <c r="A1470">
        <v>16</v>
      </c>
      <c r="B1470" t="s">
        <v>487</v>
      </c>
      <c r="C1470" t="s">
        <v>19</v>
      </c>
      <c r="D1470">
        <v>29</v>
      </c>
      <c r="E1470" t="s">
        <v>472</v>
      </c>
      <c r="F1470" t="s">
        <v>23</v>
      </c>
      <c r="G1470">
        <v>7</v>
      </c>
      <c r="H1470">
        <v>79</v>
      </c>
      <c r="I1470">
        <v>56.4</v>
      </c>
      <c r="J1470" t="s">
        <v>549</v>
      </c>
    </row>
    <row r="1471" spans="1:10" x14ac:dyDescent="0.25">
      <c r="A1471">
        <v>16</v>
      </c>
      <c r="B1471" t="s">
        <v>487</v>
      </c>
      <c r="C1471" t="s">
        <v>19</v>
      </c>
      <c r="D1471">
        <v>30</v>
      </c>
      <c r="E1471" t="s">
        <v>530</v>
      </c>
      <c r="F1471" t="s">
        <v>14</v>
      </c>
      <c r="G1471">
        <v>49</v>
      </c>
      <c r="H1471">
        <v>716</v>
      </c>
      <c r="I1471">
        <v>43.6</v>
      </c>
      <c r="J1471" t="s">
        <v>549</v>
      </c>
    </row>
    <row r="1472" spans="1:10" x14ac:dyDescent="0.25">
      <c r="A1472">
        <v>18</v>
      </c>
      <c r="B1472" t="s">
        <v>488</v>
      </c>
      <c r="C1472" t="s">
        <v>19</v>
      </c>
      <c r="D1472">
        <v>21</v>
      </c>
      <c r="E1472" t="s">
        <v>476</v>
      </c>
      <c r="F1472" t="s">
        <v>28</v>
      </c>
      <c r="G1472">
        <v>29</v>
      </c>
      <c r="H1472">
        <v>367</v>
      </c>
      <c r="I1472">
        <v>50.3</v>
      </c>
      <c r="J1472" t="s">
        <v>549</v>
      </c>
    </row>
    <row r="1473" spans="1:10" x14ac:dyDescent="0.25">
      <c r="A1473">
        <v>18</v>
      </c>
      <c r="B1473" t="s">
        <v>488</v>
      </c>
      <c r="C1473" t="s">
        <v>19</v>
      </c>
      <c r="D1473">
        <v>22</v>
      </c>
      <c r="E1473" t="s">
        <v>536</v>
      </c>
      <c r="F1473" t="s">
        <v>14</v>
      </c>
      <c r="G1473">
        <v>18</v>
      </c>
      <c r="H1473">
        <v>206</v>
      </c>
      <c r="I1473">
        <v>55.7</v>
      </c>
      <c r="J1473" t="s">
        <v>549</v>
      </c>
    </row>
    <row r="1474" spans="1:10" x14ac:dyDescent="0.25">
      <c r="A1474">
        <v>18</v>
      </c>
      <c r="B1474" t="s">
        <v>488</v>
      </c>
      <c r="C1474" t="s">
        <v>19</v>
      </c>
      <c r="D1474">
        <v>23</v>
      </c>
      <c r="E1474" t="s">
        <v>506</v>
      </c>
      <c r="F1474" t="s">
        <v>23</v>
      </c>
      <c r="G1474">
        <v>16</v>
      </c>
      <c r="H1474">
        <v>82</v>
      </c>
      <c r="I1474">
        <v>124.3</v>
      </c>
      <c r="J1474" t="s">
        <v>549</v>
      </c>
    </row>
    <row r="1475" spans="1:10" x14ac:dyDescent="0.25">
      <c r="A1475">
        <v>18</v>
      </c>
      <c r="B1475" t="s">
        <v>488</v>
      </c>
      <c r="C1475" t="s">
        <v>19</v>
      </c>
      <c r="D1475">
        <v>24</v>
      </c>
      <c r="E1475" t="s">
        <v>524</v>
      </c>
      <c r="F1475" t="s">
        <v>28</v>
      </c>
      <c r="G1475">
        <v>26</v>
      </c>
      <c r="H1475">
        <v>342</v>
      </c>
      <c r="I1475">
        <v>48.4</v>
      </c>
      <c r="J1475" t="s">
        <v>549</v>
      </c>
    </row>
    <row r="1476" spans="1:10" x14ac:dyDescent="0.25">
      <c r="A1476">
        <v>18</v>
      </c>
      <c r="B1476" t="s">
        <v>488</v>
      </c>
      <c r="C1476" t="s">
        <v>19</v>
      </c>
      <c r="D1476">
        <v>9</v>
      </c>
      <c r="E1476" t="s">
        <v>468</v>
      </c>
      <c r="F1476" t="s">
        <v>23</v>
      </c>
      <c r="G1476">
        <v>50</v>
      </c>
      <c r="H1476">
        <v>483</v>
      </c>
      <c r="I1476">
        <v>65.900000000000006</v>
      </c>
      <c r="J1476" t="s">
        <v>549</v>
      </c>
    </row>
    <row r="1477" spans="1:10" x14ac:dyDescent="0.25">
      <c r="A1477">
        <v>18</v>
      </c>
      <c r="B1477" t="s">
        <v>488</v>
      </c>
      <c r="C1477" t="s">
        <v>19</v>
      </c>
      <c r="D1477">
        <v>10</v>
      </c>
      <c r="E1477" t="s">
        <v>534</v>
      </c>
      <c r="F1477" t="s">
        <v>23</v>
      </c>
      <c r="G1477">
        <v>16</v>
      </c>
      <c r="H1477">
        <v>196</v>
      </c>
      <c r="I1477">
        <v>52</v>
      </c>
      <c r="J1477" t="s">
        <v>549</v>
      </c>
    </row>
    <row r="1478" spans="1:10" x14ac:dyDescent="0.25">
      <c r="A1478">
        <v>18</v>
      </c>
      <c r="B1478" t="s">
        <v>488</v>
      </c>
      <c r="C1478" t="s">
        <v>19</v>
      </c>
      <c r="D1478">
        <v>11</v>
      </c>
      <c r="E1478" t="s">
        <v>469</v>
      </c>
      <c r="F1478" t="s">
        <v>25</v>
      </c>
      <c r="G1478">
        <v>12</v>
      </c>
      <c r="H1478">
        <v>123</v>
      </c>
      <c r="I1478">
        <v>62.1</v>
      </c>
      <c r="J1478" t="s">
        <v>549</v>
      </c>
    </row>
    <row r="1479" spans="1:10" x14ac:dyDescent="0.25">
      <c r="A1479">
        <v>18</v>
      </c>
      <c r="B1479" t="s">
        <v>488</v>
      </c>
      <c r="C1479" t="s">
        <v>19</v>
      </c>
      <c r="D1479">
        <v>12</v>
      </c>
      <c r="E1479" t="s">
        <v>475</v>
      </c>
      <c r="F1479" t="s">
        <v>28</v>
      </c>
      <c r="G1479">
        <v>3</v>
      </c>
      <c r="H1479">
        <v>33</v>
      </c>
      <c r="I1479">
        <v>57.9</v>
      </c>
      <c r="J1479" t="s">
        <v>549</v>
      </c>
    </row>
    <row r="1480" spans="1:10" x14ac:dyDescent="0.25">
      <c r="A1480">
        <v>18</v>
      </c>
      <c r="B1480" t="s">
        <v>488</v>
      </c>
      <c r="C1480" t="s">
        <v>19</v>
      </c>
      <c r="D1480">
        <v>13</v>
      </c>
      <c r="E1480" t="s">
        <v>481</v>
      </c>
      <c r="F1480" t="s">
        <v>17</v>
      </c>
      <c r="G1480">
        <v>30</v>
      </c>
      <c r="H1480">
        <v>296</v>
      </c>
      <c r="I1480">
        <v>64.599999999999994</v>
      </c>
      <c r="J1480" t="s">
        <v>549</v>
      </c>
    </row>
    <row r="1481" spans="1:10" x14ac:dyDescent="0.25">
      <c r="A1481">
        <v>18</v>
      </c>
      <c r="B1481" t="s">
        <v>488</v>
      </c>
      <c r="C1481" t="s">
        <v>19</v>
      </c>
      <c r="D1481">
        <v>14</v>
      </c>
      <c r="E1481" t="s">
        <v>482</v>
      </c>
      <c r="F1481" t="s">
        <v>14</v>
      </c>
      <c r="G1481">
        <v>67</v>
      </c>
      <c r="H1481">
        <v>334</v>
      </c>
      <c r="I1481">
        <v>127.8</v>
      </c>
      <c r="J1481" t="s">
        <v>549</v>
      </c>
    </row>
    <row r="1482" spans="1:10" x14ac:dyDescent="0.25">
      <c r="A1482">
        <v>18</v>
      </c>
      <c r="B1482" t="s">
        <v>488</v>
      </c>
      <c r="C1482" t="s">
        <v>19</v>
      </c>
      <c r="D1482">
        <v>32</v>
      </c>
      <c r="E1482" t="s">
        <v>507</v>
      </c>
      <c r="F1482" t="s">
        <v>28</v>
      </c>
      <c r="G1482">
        <v>9</v>
      </c>
      <c r="H1482">
        <v>104</v>
      </c>
      <c r="I1482">
        <v>55.1</v>
      </c>
      <c r="J1482" t="s">
        <v>549</v>
      </c>
    </row>
    <row r="1483" spans="1:10" x14ac:dyDescent="0.25">
      <c r="A1483">
        <v>18</v>
      </c>
      <c r="B1483" t="s">
        <v>488</v>
      </c>
      <c r="C1483" t="s">
        <v>19</v>
      </c>
      <c r="D1483">
        <v>4</v>
      </c>
      <c r="E1483" t="s">
        <v>504</v>
      </c>
      <c r="F1483" t="s">
        <v>14</v>
      </c>
      <c r="G1483">
        <v>10</v>
      </c>
      <c r="H1483">
        <v>169</v>
      </c>
      <c r="I1483">
        <v>37.700000000000003</v>
      </c>
      <c r="J1483" t="s">
        <v>549</v>
      </c>
    </row>
    <row r="1484" spans="1:10" x14ac:dyDescent="0.25">
      <c r="A1484">
        <v>18</v>
      </c>
      <c r="B1484" t="s">
        <v>488</v>
      </c>
      <c r="C1484" t="s">
        <v>19</v>
      </c>
      <c r="D1484">
        <v>27</v>
      </c>
      <c r="E1484" t="s">
        <v>526</v>
      </c>
      <c r="F1484" t="s">
        <v>25</v>
      </c>
      <c r="G1484">
        <v>40</v>
      </c>
      <c r="H1484">
        <v>318</v>
      </c>
      <c r="I1484">
        <v>80.099999999999994</v>
      </c>
      <c r="J1484" t="s">
        <v>549</v>
      </c>
    </row>
    <row r="1485" spans="1:10" x14ac:dyDescent="0.25">
      <c r="A1485">
        <v>19</v>
      </c>
      <c r="B1485" t="s">
        <v>489</v>
      </c>
      <c r="C1485" t="s">
        <v>26</v>
      </c>
      <c r="D1485">
        <v>10</v>
      </c>
      <c r="E1485" t="s">
        <v>534</v>
      </c>
      <c r="F1485" t="s">
        <v>23</v>
      </c>
      <c r="G1485">
        <v>45</v>
      </c>
      <c r="H1485">
        <v>286</v>
      </c>
      <c r="I1485">
        <v>100.2</v>
      </c>
      <c r="J1485" t="s">
        <v>549</v>
      </c>
    </row>
    <row r="1486" spans="1:10" x14ac:dyDescent="0.25">
      <c r="A1486">
        <v>19</v>
      </c>
      <c r="B1486" t="s">
        <v>489</v>
      </c>
      <c r="C1486" t="s">
        <v>26</v>
      </c>
      <c r="D1486">
        <v>23</v>
      </c>
      <c r="E1486" t="s">
        <v>506</v>
      </c>
      <c r="F1486" t="s">
        <v>23</v>
      </c>
      <c r="G1486">
        <v>10</v>
      </c>
      <c r="H1486">
        <v>168</v>
      </c>
      <c r="I1486">
        <v>37.9</v>
      </c>
      <c r="J1486" t="s">
        <v>549</v>
      </c>
    </row>
    <row r="1487" spans="1:10" x14ac:dyDescent="0.25">
      <c r="A1487">
        <v>18</v>
      </c>
      <c r="B1487" t="s">
        <v>488</v>
      </c>
      <c r="C1487" t="s">
        <v>19</v>
      </c>
      <c r="D1487">
        <v>35</v>
      </c>
      <c r="E1487" t="s">
        <v>539</v>
      </c>
      <c r="F1487" t="s">
        <v>14</v>
      </c>
      <c r="G1487">
        <v>10</v>
      </c>
      <c r="H1487">
        <v>152</v>
      </c>
      <c r="I1487">
        <v>41.9</v>
      </c>
      <c r="J1487" t="s">
        <v>549</v>
      </c>
    </row>
    <row r="1488" spans="1:10" x14ac:dyDescent="0.25">
      <c r="A1488">
        <v>19</v>
      </c>
      <c r="B1488" t="s">
        <v>489</v>
      </c>
      <c r="C1488" t="s">
        <v>26</v>
      </c>
      <c r="D1488">
        <v>20</v>
      </c>
      <c r="E1488" t="s">
        <v>533</v>
      </c>
      <c r="F1488" t="s">
        <v>28</v>
      </c>
      <c r="G1488">
        <v>11</v>
      </c>
      <c r="H1488">
        <v>60</v>
      </c>
      <c r="I1488">
        <v>116.8</v>
      </c>
      <c r="J1488" t="s">
        <v>549</v>
      </c>
    </row>
    <row r="1489" spans="1:10" x14ac:dyDescent="0.25">
      <c r="A1489">
        <v>19</v>
      </c>
      <c r="B1489" t="s">
        <v>489</v>
      </c>
      <c r="C1489" t="s">
        <v>26</v>
      </c>
      <c r="D1489">
        <v>21</v>
      </c>
      <c r="E1489" t="s">
        <v>476</v>
      </c>
      <c r="F1489" t="s">
        <v>28</v>
      </c>
      <c r="G1489">
        <v>24</v>
      </c>
      <c r="H1489">
        <v>140</v>
      </c>
      <c r="I1489">
        <v>109.2</v>
      </c>
      <c r="J1489" t="s">
        <v>549</v>
      </c>
    </row>
    <row r="1490" spans="1:10" x14ac:dyDescent="0.25">
      <c r="A1490">
        <v>20</v>
      </c>
      <c r="B1490" t="s">
        <v>491</v>
      </c>
      <c r="C1490" t="s">
        <v>19</v>
      </c>
      <c r="D1490">
        <v>13</v>
      </c>
      <c r="E1490" t="s">
        <v>481</v>
      </c>
      <c r="F1490" t="s">
        <v>17</v>
      </c>
      <c r="G1490">
        <v>11</v>
      </c>
      <c r="H1490">
        <v>159</v>
      </c>
      <c r="I1490">
        <v>44.1</v>
      </c>
      <c r="J1490" t="s">
        <v>549</v>
      </c>
    </row>
    <row r="1491" spans="1:10" x14ac:dyDescent="0.25">
      <c r="A1491">
        <v>20</v>
      </c>
      <c r="B1491" t="s">
        <v>491</v>
      </c>
      <c r="C1491" t="s">
        <v>19</v>
      </c>
      <c r="D1491">
        <v>8</v>
      </c>
      <c r="E1491" t="s">
        <v>529</v>
      </c>
      <c r="F1491" t="s">
        <v>14</v>
      </c>
      <c r="G1491">
        <v>26</v>
      </c>
      <c r="H1491">
        <v>471</v>
      </c>
      <c r="I1491">
        <v>35.200000000000003</v>
      </c>
      <c r="J1491" t="s">
        <v>549</v>
      </c>
    </row>
    <row r="1492" spans="1:10" x14ac:dyDescent="0.25">
      <c r="A1492">
        <v>19</v>
      </c>
      <c r="B1492" t="s">
        <v>489</v>
      </c>
      <c r="C1492" t="s">
        <v>26</v>
      </c>
      <c r="D1492">
        <v>28</v>
      </c>
      <c r="E1492" t="s">
        <v>477</v>
      </c>
      <c r="F1492" t="s">
        <v>25</v>
      </c>
      <c r="G1492">
        <v>6</v>
      </c>
      <c r="H1492">
        <v>26</v>
      </c>
      <c r="I1492">
        <v>147</v>
      </c>
      <c r="J1492" t="s">
        <v>549</v>
      </c>
    </row>
    <row r="1493" spans="1:10" x14ac:dyDescent="0.25">
      <c r="A1493">
        <v>19</v>
      </c>
      <c r="B1493" t="s">
        <v>489</v>
      </c>
      <c r="C1493" t="s">
        <v>26</v>
      </c>
      <c r="D1493">
        <v>29</v>
      </c>
      <c r="E1493" t="s">
        <v>472</v>
      </c>
      <c r="F1493" t="s">
        <v>23</v>
      </c>
      <c r="G1493">
        <v>29</v>
      </c>
      <c r="H1493">
        <v>128</v>
      </c>
      <c r="I1493">
        <v>144.30000000000001</v>
      </c>
      <c r="J1493" t="s">
        <v>549</v>
      </c>
    </row>
    <row r="1494" spans="1:10" x14ac:dyDescent="0.25">
      <c r="A1494">
        <v>19</v>
      </c>
      <c r="B1494" t="s">
        <v>489</v>
      </c>
      <c r="C1494" t="s">
        <v>26</v>
      </c>
      <c r="D1494">
        <v>34</v>
      </c>
      <c r="E1494" t="s">
        <v>467</v>
      </c>
      <c r="F1494" t="s">
        <v>17</v>
      </c>
      <c r="G1494">
        <v>15</v>
      </c>
      <c r="H1494">
        <v>206</v>
      </c>
      <c r="I1494">
        <v>46.4</v>
      </c>
      <c r="J1494" t="s">
        <v>549</v>
      </c>
    </row>
    <row r="1495" spans="1:10" x14ac:dyDescent="0.25">
      <c r="A1495">
        <v>19</v>
      </c>
      <c r="B1495" t="s">
        <v>489</v>
      </c>
      <c r="C1495" t="s">
        <v>26</v>
      </c>
      <c r="D1495">
        <v>35</v>
      </c>
      <c r="E1495" t="s">
        <v>539</v>
      </c>
      <c r="F1495" t="s">
        <v>14</v>
      </c>
      <c r="G1495">
        <v>14</v>
      </c>
      <c r="H1495">
        <v>70</v>
      </c>
      <c r="I1495">
        <v>127.4</v>
      </c>
      <c r="J1495" t="s">
        <v>549</v>
      </c>
    </row>
    <row r="1496" spans="1:10" x14ac:dyDescent="0.25">
      <c r="A1496">
        <v>21</v>
      </c>
      <c r="B1496" t="s">
        <v>537</v>
      </c>
      <c r="C1496" t="s">
        <v>19</v>
      </c>
      <c r="D1496">
        <v>26</v>
      </c>
      <c r="E1496" t="s">
        <v>519</v>
      </c>
      <c r="F1496" t="s">
        <v>25</v>
      </c>
      <c r="G1496">
        <v>21</v>
      </c>
      <c r="H1496">
        <v>160</v>
      </c>
      <c r="I1496">
        <v>83.6</v>
      </c>
      <c r="J1496" t="s">
        <v>549</v>
      </c>
    </row>
    <row r="1497" spans="1:10" x14ac:dyDescent="0.25">
      <c r="A1497">
        <v>21</v>
      </c>
      <c r="B1497" t="s">
        <v>537</v>
      </c>
      <c r="C1497" t="s">
        <v>19</v>
      </c>
      <c r="D1497">
        <v>27</v>
      </c>
      <c r="E1497" t="s">
        <v>526</v>
      </c>
      <c r="F1497" t="s">
        <v>25</v>
      </c>
      <c r="G1497">
        <v>54</v>
      </c>
      <c r="H1497">
        <v>404</v>
      </c>
      <c r="I1497">
        <v>85.1</v>
      </c>
      <c r="J1497" t="s">
        <v>549</v>
      </c>
    </row>
    <row r="1498" spans="1:10" x14ac:dyDescent="0.25">
      <c r="A1498">
        <v>21</v>
      </c>
      <c r="B1498" t="s">
        <v>537</v>
      </c>
      <c r="C1498" t="s">
        <v>19</v>
      </c>
      <c r="D1498">
        <v>28</v>
      </c>
      <c r="E1498" t="s">
        <v>477</v>
      </c>
      <c r="F1498" t="s">
        <v>25</v>
      </c>
      <c r="G1498">
        <v>7</v>
      </c>
      <c r="H1498">
        <v>50</v>
      </c>
      <c r="I1498">
        <v>89.2</v>
      </c>
      <c r="J1498" t="s">
        <v>549</v>
      </c>
    </row>
    <row r="1499" spans="1:10" x14ac:dyDescent="0.25">
      <c r="A1499">
        <v>20</v>
      </c>
      <c r="B1499" t="s">
        <v>491</v>
      </c>
      <c r="C1499" t="s">
        <v>19</v>
      </c>
      <c r="D1499">
        <v>32</v>
      </c>
      <c r="E1499" t="s">
        <v>507</v>
      </c>
      <c r="F1499" t="s">
        <v>28</v>
      </c>
      <c r="G1499">
        <v>9</v>
      </c>
      <c r="H1499">
        <v>163</v>
      </c>
      <c r="I1499">
        <v>35.200000000000003</v>
      </c>
      <c r="J1499" t="s">
        <v>549</v>
      </c>
    </row>
    <row r="1500" spans="1:10" x14ac:dyDescent="0.25">
      <c r="A1500">
        <v>20</v>
      </c>
      <c r="B1500" t="s">
        <v>491</v>
      </c>
      <c r="C1500" t="s">
        <v>19</v>
      </c>
      <c r="D1500">
        <v>33</v>
      </c>
      <c r="E1500" t="s">
        <v>490</v>
      </c>
      <c r="F1500" t="s">
        <v>23</v>
      </c>
      <c r="G1500">
        <v>28</v>
      </c>
      <c r="H1500">
        <v>192</v>
      </c>
      <c r="I1500">
        <v>92.9</v>
      </c>
      <c r="J1500" t="s">
        <v>549</v>
      </c>
    </row>
    <row r="1501" spans="1:10" x14ac:dyDescent="0.25">
      <c r="A1501">
        <v>20</v>
      </c>
      <c r="B1501" t="s">
        <v>491</v>
      </c>
      <c r="C1501" t="s">
        <v>19</v>
      </c>
      <c r="D1501">
        <v>34</v>
      </c>
      <c r="E1501" t="s">
        <v>467</v>
      </c>
      <c r="F1501" t="s">
        <v>17</v>
      </c>
      <c r="G1501">
        <v>19</v>
      </c>
      <c r="H1501">
        <v>160</v>
      </c>
      <c r="I1501">
        <v>75.599999999999994</v>
      </c>
      <c r="J1501" t="s">
        <v>549</v>
      </c>
    </row>
    <row r="1502" spans="1:10" x14ac:dyDescent="0.25">
      <c r="A1502">
        <v>21</v>
      </c>
      <c r="B1502" t="s">
        <v>537</v>
      </c>
      <c r="C1502" t="s">
        <v>19</v>
      </c>
      <c r="D1502">
        <v>23</v>
      </c>
      <c r="E1502" t="s">
        <v>506</v>
      </c>
      <c r="F1502" t="s">
        <v>23</v>
      </c>
      <c r="G1502">
        <v>30</v>
      </c>
      <c r="H1502">
        <v>181</v>
      </c>
      <c r="I1502">
        <v>105.6</v>
      </c>
      <c r="J1502" t="s">
        <v>549</v>
      </c>
    </row>
    <row r="1503" spans="1:10" x14ac:dyDescent="0.25">
      <c r="A1503">
        <v>21</v>
      </c>
      <c r="B1503" t="s">
        <v>537</v>
      </c>
      <c r="C1503" t="s">
        <v>19</v>
      </c>
      <c r="D1503">
        <v>24</v>
      </c>
      <c r="E1503" t="s">
        <v>524</v>
      </c>
      <c r="F1503" t="s">
        <v>28</v>
      </c>
      <c r="G1503">
        <v>19</v>
      </c>
      <c r="H1503">
        <v>292</v>
      </c>
      <c r="I1503">
        <v>41.4</v>
      </c>
      <c r="J1503" t="s">
        <v>549</v>
      </c>
    </row>
    <row r="1504" spans="1:10" x14ac:dyDescent="0.25">
      <c r="A1504">
        <v>21</v>
      </c>
      <c r="B1504" t="s">
        <v>537</v>
      </c>
      <c r="C1504" t="s">
        <v>19</v>
      </c>
      <c r="D1504">
        <v>12</v>
      </c>
      <c r="E1504" t="s">
        <v>475</v>
      </c>
      <c r="F1504" t="s">
        <v>28</v>
      </c>
      <c r="G1504">
        <v>21</v>
      </c>
      <c r="H1504">
        <v>109</v>
      </c>
      <c r="I1504">
        <v>122.7</v>
      </c>
      <c r="J1504" t="s">
        <v>549</v>
      </c>
    </row>
    <row r="1505" spans="1:10" x14ac:dyDescent="0.25">
      <c r="A1505">
        <v>20</v>
      </c>
      <c r="B1505" t="s">
        <v>491</v>
      </c>
      <c r="C1505" t="s">
        <v>19</v>
      </c>
      <c r="D1505">
        <v>15</v>
      </c>
      <c r="E1505" t="s">
        <v>471</v>
      </c>
      <c r="F1505" t="s">
        <v>23</v>
      </c>
      <c r="G1505">
        <v>36</v>
      </c>
      <c r="H1505">
        <v>311</v>
      </c>
      <c r="I1505">
        <v>73.7</v>
      </c>
      <c r="J1505" t="s">
        <v>549</v>
      </c>
    </row>
    <row r="1506" spans="1:10" x14ac:dyDescent="0.25">
      <c r="A1506">
        <v>20</v>
      </c>
      <c r="B1506" t="s">
        <v>491</v>
      </c>
      <c r="C1506" t="s">
        <v>19</v>
      </c>
      <c r="D1506">
        <v>17</v>
      </c>
      <c r="E1506" t="s">
        <v>531</v>
      </c>
      <c r="F1506" t="s">
        <v>25</v>
      </c>
      <c r="G1506">
        <v>23</v>
      </c>
      <c r="H1506">
        <v>417</v>
      </c>
      <c r="I1506">
        <v>35.1</v>
      </c>
      <c r="J1506" t="s">
        <v>549</v>
      </c>
    </row>
    <row r="1507" spans="1:10" x14ac:dyDescent="0.25">
      <c r="A1507">
        <v>20</v>
      </c>
      <c r="B1507" t="s">
        <v>491</v>
      </c>
      <c r="C1507" t="s">
        <v>19</v>
      </c>
      <c r="D1507">
        <v>23</v>
      </c>
      <c r="E1507" t="s">
        <v>506</v>
      </c>
      <c r="F1507" t="s">
        <v>23</v>
      </c>
      <c r="G1507">
        <v>12</v>
      </c>
      <c r="H1507">
        <v>140</v>
      </c>
      <c r="I1507">
        <v>54.6</v>
      </c>
      <c r="J1507" t="s">
        <v>549</v>
      </c>
    </row>
    <row r="1508" spans="1:10" x14ac:dyDescent="0.25">
      <c r="A1508">
        <v>12</v>
      </c>
      <c r="B1508" t="s">
        <v>535</v>
      </c>
      <c r="C1508" t="s">
        <v>19</v>
      </c>
      <c r="D1508">
        <v>4</v>
      </c>
      <c r="E1508" t="s">
        <v>504</v>
      </c>
      <c r="F1508" t="s">
        <v>14</v>
      </c>
      <c r="G1508">
        <v>8</v>
      </c>
      <c r="H1508">
        <v>127</v>
      </c>
      <c r="I1508">
        <v>40.1</v>
      </c>
      <c r="J1508" t="s">
        <v>549</v>
      </c>
    </row>
    <row r="1509" spans="1:10" x14ac:dyDescent="0.25">
      <c r="A1509">
        <v>12</v>
      </c>
      <c r="B1509" t="s">
        <v>535</v>
      </c>
      <c r="C1509" t="s">
        <v>19</v>
      </c>
      <c r="D1509">
        <v>5</v>
      </c>
      <c r="E1509" t="s">
        <v>464</v>
      </c>
      <c r="F1509" t="s">
        <v>14</v>
      </c>
      <c r="G1509">
        <v>17</v>
      </c>
      <c r="H1509">
        <v>179</v>
      </c>
      <c r="I1509">
        <v>60.5</v>
      </c>
      <c r="J1509" t="s">
        <v>549</v>
      </c>
    </row>
    <row r="1510" spans="1:10" x14ac:dyDescent="0.25">
      <c r="A1510">
        <v>11</v>
      </c>
      <c r="B1510" t="s">
        <v>483</v>
      </c>
      <c r="C1510" t="s">
        <v>19</v>
      </c>
      <c r="D1510">
        <v>33</v>
      </c>
      <c r="E1510" t="s">
        <v>490</v>
      </c>
      <c r="F1510" t="s">
        <v>23</v>
      </c>
      <c r="G1510">
        <v>6</v>
      </c>
      <c r="H1510">
        <v>76</v>
      </c>
      <c r="I1510">
        <v>50.3</v>
      </c>
      <c r="J1510" t="s">
        <v>549</v>
      </c>
    </row>
    <row r="1511" spans="1:10" x14ac:dyDescent="0.25">
      <c r="A1511">
        <v>11</v>
      </c>
      <c r="B1511" t="s">
        <v>483</v>
      </c>
      <c r="C1511" t="s">
        <v>19</v>
      </c>
      <c r="D1511">
        <v>26</v>
      </c>
      <c r="E1511" t="s">
        <v>519</v>
      </c>
      <c r="F1511" t="s">
        <v>25</v>
      </c>
      <c r="G1511">
        <v>10</v>
      </c>
      <c r="H1511">
        <v>135</v>
      </c>
      <c r="I1511">
        <v>47.2</v>
      </c>
      <c r="J1511" t="s">
        <v>549</v>
      </c>
    </row>
    <row r="1512" spans="1:10" x14ac:dyDescent="0.25">
      <c r="A1512">
        <v>11</v>
      </c>
      <c r="B1512" t="s">
        <v>483</v>
      </c>
      <c r="C1512" t="s">
        <v>19</v>
      </c>
      <c r="D1512">
        <v>27</v>
      </c>
      <c r="E1512" t="s">
        <v>526</v>
      </c>
      <c r="F1512" t="s">
        <v>25</v>
      </c>
      <c r="G1512">
        <v>28</v>
      </c>
      <c r="H1512">
        <v>373</v>
      </c>
      <c r="I1512">
        <v>47.8</v>
      </c>
      <c r="J1512" t="s">
        <v>549</v>
      </c>
    </row>
    <row r="1513" spans="1:10" x14ac:dyDescent="0.25">
      <c r="A1513">
        <v>11</v>
      </c>
      <c r="B1513" t="s">
        <v>483</v>
      </c>
      <c r="C1513" t="s">
        <v>19</v>
      </c>
      <c r="D1513">
        <v>28</v>
      </c>
      <c r="E1513" t="s">
        <v>477</v>
      </c>
      <c r="F1513" t="s">
        <v>25</v>
      </c>
      <c r="G1513">
        <v>11</v>
      </c>
      <c r="H1513">
        <v>85</v>
      </c>
      <c r="I1513">
        <v>82.4</v>
      </c>
      <c r="J1513" t="s">
        <v>549</v>
      </c>
    </row>
    <row r="1514" spans="1:10" x14ac:dyDescent="0.25">
      <c r="A1514">
        <v>12</v>
      </c>
      <c r="B1514" t="s">
        <v>535</v>
      </c>
      <c r="C1514" t="s">
        <v>19</v>
      </c>
      <c r="D1514">
        <v>11</v>
      </c>
      <c r="E1514" t="s">
        <v>469</v>
      </c>
      <c r="F1514" t="s">
        <v>25</v>
      </c>
      <c r="G1514">
        <v>8</v>
      </c>
      <c r="H1514">
        <v>141</v>
      </c>
      <c r="I1514">
        <v>36.1</v>
      </c>
      <c r="J1514" t="s">
        <v>549</v>
      </c>
    </row>
    <row r="1515" spans="1:10" x14ac:dyDescent="0.25">
      <c r="A1515">
        <v>12</v>
      </c>
      <c r="B1515" t="s">
        <v>535</v>
      </c>
      <c r="C1515" t="s">
        <v>19</v>
      </c>
      <c r="D1515">
        <v>12</v>
      </c>
      <c r="E1515" t="s">
        <v>475</v>
      </c>
      <c r="F1515" t="s">
        <v>28</v>
      </c>
      <c r="G1515">
        <v>10</v>
      </c>
      <c r="H1515">
        <v>81</v>
      </c>
      <c r="I1515">
        <v>78.599999999999994</v>
      </c>
      <c r="J1515" t="s">
        <v>549</v>
      </c>
    </row>
    <row r="1516" spans="1:10" x14ac:dyDescent="0.25">
      <c r="A1516">
        <v>12</v>
      </c>
      <c r="B1516" t="s">
        <v>535</v>
      </c>
      <c r="C1516" t="s">
        <v>19</v>
      </c>
      <c r="D1516">
        <v>13</v>
      </c>
      <c r="E1516" t="s">
        <v>481</v>
      </c>
      <c r="F1516" t="s">
        <v>17</v>
      </c>
      <c r="G1516">
        <v>15</v>
      </c>
      <c r="H1516">
        <v>251</v>
      </c>
      <c r="I1516">
        <v>38.1</v>
      </c>
      <c r="J1516" t="s">
        <v>549</v>
      </c>
    </row>
    <row r="1517" spans="1:10" x14ac:dyDescent="0.25">
      <c r="A1517">
        <v>11</v>
      </c>
      <c r="B1517" t="s">
        <v>483</v>
      </c>
      <c r="C1517" t="s">
        <v>19</v>
      </c>
      <c r="D1517">
        <v>23</v>
      </c>
      <c r="E1517" t="s">
        <v>506</v>
      </c>
      <c r="F1517" t="s">
        <v>23</v>
      </c>
      <c r="G1517">
        <v>23</v>
      </c>
      <c r="H1517">
        <v>371</v>
      </c>
      <c r="I1517">
        <v>39.5</v>
      </c>
      <c r="J1517" t="s">
        <v>549</v>
      </c>
    </row>
    <row r="1518" spans="1:10" x14ac:dyDescent="0.25">
      <c r="A1518">
        <v>11</v>
      </c>
      <c r="B1518" t="s">
        <v>483</v>
      </c>
      <c r="C1518" t="s">
        <v>19</v>
      </c>
      <c r="D1518">
        <v>24</v>
      </c>
      <c r="E1518" t="s">
        <v>524</v>
      </c>
      <c r="F1518" t="s">
        <v>28</v>
      </c>
      <c r="G1518">
        <v>39</v>
      </c>
      <c r="H1518">
        <v>470</v>
      </c>
      <c r="I1518">
        <v>52.9</v>
      </c>
      <c r="J1518" t="s">
        <v>549</v>
      </c>
    </row>
    <row r="1519" spans="1:10" x14ac:dyDescent="0.25">
      <c r="A1519">
        <v>12</v>
      </c>
      <c r="B1519" t="s">
        <v>535</v>
      </c>
      <c r="C1519" t="s">
        <v>19</v>
      </c>
      <c r="D1519">
        <v>32</v>
      </c>
      <c r="E1519" t="s">
        <v>507</v>
      </c>
      <c r="F1519" t="s">
        <v>28</v>
      </c>
      <c r="G1519">
        <v>9</v>
      </c>
      <c r="H1519">
        <v>104</v>
      </c>
      <c r="I1519">
        <v>55.1</v>
      </c>
      <c r="J1519" t="s">
        <v>549</v>
      </c>
    </row>
    <row r="1520" spans="1:10" x14ac:dyDescent="0.25">
      <c r="A1520">
        <v>12</v>
      </c>
      <c r="B1520" t="s">
        <v>535</v>
      </c>
      <c r="C1520" t="s">
        <v>19</v>
      </c>
      <c r="D1520">
        <v>33</v>
      </c>
      <c r="E1520" t="s">
        <v>490</v>
      </c>
      <c r="F1520" t="s">
        <v>23</v>
      </c>
      <c r="G1520">
        <v>5</v>
      </c>
      <c r="H1520">
        <v>62</v>
      </c>
      <c r="I1520">
        <v>51.4</v>
      </c>
      <c r="J1520" t="s">
        <v>549</v>
      </c>
    </row>
    <row r="1521" spans="1:10" x14ac:dyDescent="0.25">
      <c r="A1521">
        <v>12</v>
      </c>
      <c r="B1521" t="s">
        <v>535</v>
      </c>
      <c r="C1521" t="s">
        <v>19</v>
      </c>
      <c r="D1521">
        <v>34</v>
      </c>
      <c r="E1521" t="s">
        <v>467</v>
      </c>
      <c r="F1521" t="s">
        <v>17</v>
      </c>
      <c r="G1521">
        <v>9</v>
      </c>
      <c r="H1521">
        <v>89</v>
      </c>
      <c r="I1521">
        <v>64.400000000000006</v>
      </c>
      <c r="J1521" t="s">
        <v>549</v>
      </c>
    </row>
    <row r="1522" spans="1:10" x14ac:dyDescent="0.25">
      <c r="A1522">
        <v>12</v>
      </c>
      <c r="B1522" t="s">
        <v>535</v>
      </c>
      <c r="C1522" t="s">
        <v>19</v>
      </c>
      <c r="D1522">
        <v>35</v>
      </c>
      <c r="E1522" t="s">
        <v>539</v>
      </c>
      <c r="F1522" t="s">
        <v>14</v>
      </c>
      <c r="G1522">
        <v>9</v>
      </c>
      <c r="H1522">
        <v>66</v>
      </c>
      <c r="I1522">
        <v>86.9</v>
      </c>
      <c r="J1522" t="s">
        <v>549</v>
      </c>
    </row>
    <row r="1523" spans="1:10" x14ac:dyDescent="0.25">
      <c r="A1523">
        <v>12</v>
      </c>
      <c r="B1523" t="s">
        <v>535</v>
      </c>
      <c r="C1523" t="s">
        <v>19</v>
      </c>
      <c r="D1523">
        <v>27</v>
      </c>
      <c r="E1523" t="s">
        <v>526</v>
      </c>
      <c r="F1523" t="s">
        <v>25</v>
      </c>
      <c r="G1523">
        <v>36</v>
      </c>
      <c r="H1523">
        <v>371</v>
      </c>
      <c r="I1523">
        <v>61.8</v>
      </c>
      <c r="J1523" t="s">
        <v>549</v>
      </c>
    </row>
    <row r="1524" spans="1:10" x14ac:dyDescent="0.25">
      <c r="A1524">
        <v>13</v>
      </c>
      <c r="B1524" t="s">
        <v>484</v>
      </c>
      <c r="C1524" t="s">
        <v>19</v>
      </c>
      <c r="D1524">
        <v>10</v>
      </c>
      <c r="E1524" t="s">
        <v>534</v>
      </c>
      <c r="F1524" t="s">
        <v>23</v>
      </c>
      <c r="G1524">
        <v>84</v>
      </c>
      <c r="H1524">
        <v>1096</v>
      </c>
      <c r="I1524">
        <v>48.8</v>
      </c>
      <c r="J1524" t="s">
        <v>549</v>
      </c>
    </row>
    <row r="1525" spans="1:10" x14ac:dyDescent="0.25">
      <c r="A1525">
        <v>12</v>
      </c>
      <c r="B1525" t="s">
        <v>535</v>
      </c>
      <c r="C1525" t="s">
        <v>19</v>
      </c>
      <c r="D1525">
        <v>29</v>
      </c>
      <c r="E1525" t="s">
        <v>472</v>
      </c>
      <c r="F1525" t="s">
        <v>23</v>
      </c>
      <c r="G1525">
        <v>19</v>
      </c>
      <c r="H1525">
        <v>100</v>
      </c>
      <c r="I1525">
        <v>121</v>
      </c>
      <c r="J1525" t="s">
        <v>549</v>
      </c>
    </row>
    <row r="1526" spans="1:10" x14ac:dyDescent="0.25">
      <c r="A1526">
        <v>12</v>
      </c>
      <c r="B1526" t="s">
        <v>535</v>
      </c>
      <c r="C1526" t="s">
        <v>19</v>
      </c>
      <c r="D1526">
        <v>30</v>
      </c>
      <c r="E1526" t="s">
        <v>530</v>
      </c>
      <c r="F1526" t="s">
        <v>14</v>
      </c>
      <c r="G1526">
        <v>45</v>
      </c>
      <c r="H1526">
        <v>684</v>
      </c>
      <c r="I1526">
        <v>41.9</v>
      </c>
      <c r="J1526" t="s">
        <v>549</v>
      </c>
    </row>
    <row r="1527" spans="1:10" x14ac:dyDescent="0.25">
      <c r="A1527">
        <v>13</v>
      </c>
      <c r="B1527" t="s">
        <v>484</v>
      </c>
      <c r="C1527" t="s">
        <v>19</v>
      </c>
      <c r="D1527">
        <v>23</v>
      </c>
      <c r="E1527" t="s">
        <v>506</v>
      </c>
      <c r="F1527" t="s">
        <v>23</v>
      </c>
      <c r="G1527">
        <v>6</v>
      </c>
      <c r="H1527">
        <v>63</v>
      </c>
      <c r="I1527">
        <v>60.7</v>
      </c>
      <c r="J1527" t="s">
        <v>549</v>
      </c>
    </row>
    <row r="1528" spans="1:10" x14ac:dyDescent="0.25">
      <c r="A1528">
        <v>13</v>
      </c>
      <c r="B1528" t="s">
        <v>484</v>
      </c>
      <c r="C1528" t="s">
        <v>19</v>
      </c>
      <c r="D1528">
        <v>19</v>
      </c>
      <c r="E1528" t="s">
        <v>522</v>
      </c>
      <c r="F1528" t="s">
        <v>25</v>
      </c>
      <c r="G1528">
        <v>49</v>
      </c>
      <c r="H1528">
        <v>610</v>
      </c>
      <c r="I1528">
        <v>51.2</v>
      </c>
      <c r="J1528" t="s">
        <v>549</v>
      </c>
    </row>
    <row r="1529" spans="1:10" x14ac:dyDescent="0.25">
      <c r="A1529">
        <v>13</v>
      </c>
      <c r="B1529" t="s">
        <v>484</v>
      </c>
      <c r="C1529" t="s">
        <v>19</v>
      </c>
      <c r="D1529">
        <v>15</v>
      </c>
      <c r="E1529" t="s">
        <v>471</v>
      </c>
      <c r="F1529" t="s">
        <v>23</v>
      </c>
      <c r="G1529">
        <v>27</v>
      </c>
      <c r="H1529">
        <v>441</v>
      </c>
      <c r="I1529">
        <v>39</v>
      </c>
      <c r="J1529" t="s">
        <v>549</v>
      </c>
    </row>
    <row r="1530" spans="1:10" x14ac:dyDescent="0.25">
      <c r="A1530">
        <v>13</v>
      </c>
      <c r="B1530" t="s">
        <v>484</v>
      </c>
      <c r="C1530" t="s">
        <v>19</v>
      </c>
      <c r="D1530">
        <v>27</v>
      </c>
      <c r="E1530" t="s">
        <v>526</v>
      </c>
      <c r="F1530" t="s">
        <v>25</v>
      </c>
      <c r="G1530">
        <v>56</v>
      </c>
      <c r="H1530">
        <v>398</v>
      </c>
      <c r="I1530">
        <v>89.6</v>
      </c>
      <c r="J1530" t="s">
        <v>549</v>
      </c>
    </row>
    <row r="1531" spans="1:10" x14ac:dyDescent="0.25">
      <c r="A1531">
        <v>13</v>
      </c>
      <c r="B1531" t="s">
        <v>484</v>
      </c>
      <c r="C1531" t="s">
        <v>19</v>
      </c>
      <c r="D1531">
        <v>32</v>
      </c>
      <c r="E1531" t="s">
        <v>507</v>
      </c>
      <c r="F1531" t="s">
        <v>28</v>
      </c>
      <c r="G1531">
        <v>7</v>
      </c>
      <c r="H1531">
        <v>48</v>
      </c>
      <c r="I1531">
        <v>92.9</v>
      </c>
      <c r="J1531" t="s">
        <v>549</v>
      </c>
    </row>
    <row r="1532" spans="1:10" x14ac:dyDescent="0.25">
      <c r="A1532">
        <v>14</v>
      </c>
      <c r="B1532" t="s">
        <v>485</v>
      </c>
      <c r="C1532" t="s">
        <v>19</v>
      </c>
      <c r="D1532">
        <v>19</v>
      </c>
      <c r="E1532" t="s">
        <v>522</v>
      </c>
      <c r="F1532" t="s">
        <v>25</v>
      </c>
      <c r="G1532">
        <v>23</v>
      </c>
      <c r="H1532">
        <v>368</v>
      </c>
      <c r="I1532">
        <v>39.799999999999997</v>
      </c>
      <c r="J1532" t="s">
        <v>549</v>
      </c>
    </row>
    <row r="1533" spans="1:10" x14ac:dyDescent="0.25">
      <c r="A1533">
        <v>14</v>
      </c>
      <c r="B1533" t="s">
        <v>485</v>
      </c>
      <c r="C1533" t="s">
        <v>19</v>
      </c>
      <c r="D1533">
        <v>23</v>
      </c>
      <c r="E1533" t="s">
        <v>506</v>
      </c>
      <c r="F1533" t="s">
        <v>23</v>
      </c>
      <c r="G1533">
        <v>4</v>
      </c>
      <c r="H1533">
        <v>64</v>
      </c>
      <c r="I1533">
        <v>39.799999999999997</v>
      </c>
      <c r="J1533" t="s">
        <v>549</v>
      </c>
    </row>
    <row r="1534" spans="1:10" x14ac:dyDescent="0.25">
      <c r="A1534">
        <v>15</v>
      </c>
      <c r="B1534" t="s">
        <v>486</v>
      </c>
      <c r="C1534" t="s">
        <v>19</v>
      </c>
      <c r="D1534">
        <v>10</v>
      </c>
      <c r="E1534" t="s">
        <v>534</v>
      </c>
      <c r="F1534" t="s">
        <v>23</v>
      </c>
      <c r="G1534">
        <v>39</v>
      </c>
      <c r="H1534">
        <v>476</v>
      </c>
      <c r="I1534">
        <v>52.2</v>
      </c>
      <c r="J1534" t="s">
        <v>549</v>
      </c>
    </row>
    <row r="1535" spans="1:10" x14ac:dyDescent="0.25">
      <c r="A1535">
        <v>14</v>
      </c>
      <c r="B1535" t="s">
        <v>485</v>
      </c>
      <c r="C1535" t="s">
        <v>19</v>
      </c>
      <c r="D1535">
        <v>34</v>
      </c>
      <c r="E1535" t="s">
        <v>467</v>
      </c>
      <c r="F1535" t="s">
        <v>17</v>
      </c>
      <c r="G1535">
        <v>8</v>
      </c>
      <c r="H1535">
        <v>40</v>
      </c>
      <c r="I1535">
        <v>127.4</v>
      </c>
      <c r="J1535" t="s">
        <v>549</v>
      </c>
    </row>
    <row r="1536" spans="1:10" x14ac:dyDescent="0.25">
      <c r="A1536">
        <v>15</v>
      </c>
      <c r="B1536" t="s">
        <v>486</v>
      </c>
      <c r="C1536" t="s">
        <v>19</v>
      </c>
      <c r="D1536">
        <v>17</v>
      </c>
      <c r="E1536" t="s">
        <v>531</v>
      </c>
      <c r="F1536" t="s">
        <v>25</v>
      </c>
      <c r="G1536">
        <v>24</v>
      </c>
      <c r="H1536">
        <v>297</v>
      </c>
      <c r="I1536">
        <v>51.5</v>
      </c>
      <c r="J1536" t="s">
        <v>549</v>
      </c>
    </row>
    <row r="1537" spans="1:10" x14ac:dyDescent="0.25">
      <c r="A1537">
        <v>15</v>
      </c>
      <c r="B1537" t="s">
        <v>486</v>
      </c>
      <c r="C1537" t="s">
        <v>19</v>
      </c>
      <c r="D1537">
        <v>18</v>
      </c>
      <c r="E1537" t="s">
        <v>532</v>
      </c>
      <c r="F1537" t="s">
        <v>23</v>
      </c>
      <c r="G1537">
        <v>34</v>
      </c>
      <c r="H1537">
        <v>191</v>
      </c>
      <c r="I1537">
        <v>113.4</v>
      </c>
      <c r="J1537" t="s">
        <v>549</v>
      </c>
    </row>
    <row r="1538" spans="1:10" x14ac:dyDescent="0.25">
      <c r="A1538">
        <v>16</v>
      </c>
      <c r="B1538" t="s">
        <v>487</v>
      </c>
      <c r="C1538" t="s">
        <v>19</v>
      </c>
      <c r="D1538">
        <v>21</v>
      </c>
      <c r="E1538" t="s">
        <v>476</v>
      </c>
      <c r="F1538" t="s">
        <v>28</v>
      </c>
      <c r="G1538">
        <v>54</v>
      </c>
      <c r="H1538">
        <v>528</v>
      </c>
      <c r="I1538">
        <v>65.099999999999994</v>
      </c>
      <c r="J1538" t="s">
        <v>549</v>
      </c>
    </row>
    <row r="1539" spans="1:10" x14ac:dyDescent="0.25">
      <c r="A1539">
        <v>16</v>
      </c>
      <c r="B1539" t="s">
        <v>487</v>
      </c>
      <c r="C1539" t="s">
        <v>19</v>
      </c>
      <c r="D1539">
        <v>22</v>
      </c>
      <c r="E1539" t="s">
        <v>536</v>
      </c>
      <c r="F1539" t="s">
        <v>14</v>
      </c>
      <c r="G1539">
        <v>9</v>
      </c>
      <c r="H1539">
        <v>52</v>
      </c>
      <c r="I1539">
        <v>110.3</v>
      </c>
      <c r="J1539" t="s">
        <v>549</v>
      </c>
    </row>
    <row r="1540" spans="1:10" x14ac:dyDescent="0.25">
      <c r="A1540">
        <v>16</v>
      </c>
      <c r="B1540" t="s">
        <v>487</v>
      </c>
      <c r="C1540" t="s">
        <v>19</v>
      </c>
      <c r="D1540">
        <v>16</v>
      </c>
      <c r="E1540" t="s">
        <v>513</v>
      </c>
      <c r="F1540" t="s">
        <v>14</v>
      </c>
      <c r="G1540">
        <v>14</v>
      </c>
      <c r="H1540">
        <v>186</v>
      </c>
      <c r="I1540">
        <v>47.9</v>
      </c>
      <c r="J1540" t="s">
        <v>549</v>
      </c>
    </row>
    <row r="1541" spans="1:10" x14ac:dyDescent="0.25">
      <c r="A1541">
        <v>16</v>
      </c>
      <c r="B1541" t="s">
        <v>487</v>
      </c>
      <c r="C1541" t="s">
        <v>19</v>
      </c>
      <c r="D1541">
        <v>12</v>
      </c>
      <c r="E1541" t="s">
        <v>475</v>
      </c>
      <c r="F1541" t="s">
        <v>28</v>
      </c>
      <c r="G1541">
        <v>12</v>
      </c>
      <c r="H1541">
        <v>109</v>
      </c>
      <c r="I1541">
        <v>70.099999999999994</v>
      </c>
      <c r="J1541" t="s">
        <v>549</v>
      </c>
    </row>
    <row r="1542" spans="1:10" x14ac:dyDescent="0.25">
      <c r="A1542">
        <v>15</v>
      </c>
      <c r="B1542" t="s">
        <v>486</v>
      </c>
      <c r="C1542" t="s">
        <v>19</v>
      </c>
      <c r="D1542">
        <v>32</v>
      </c>
      <c r="E1542" t="s">
        <v>507</v>
      </c>
      <c r="F1542" t="s">
        <v>28</v>
      </c>
      <c r="G1542">
        <v>16</v>
      </c>
      <c r="H1542">
        <v>100</v>
      </c>
      <c r="I1542">
        <v>101.9</v>
      </c>
      <c r="J1542" t="s">
        <v>549</v>
      </c>
    </row>
    <row r="1543" spans="1:10" x14ac:dyDescent="0.25">
      <c r="A1543">
        <v>16</v>
      </c>
      <c r="B1543" t="s">
        <v>487</v>
      </c>
      <c r="C1543" t="s">
        <v>19</v>
      </c>
      <c r="D1543">
        <v>4</v>
      </c>
      <c r="E1543" t="s">
        <v>504</v>
      </c>
      <c r="F1543" t="s">
        <v>14</v>
      </c>
      <c r="G1543">
        <v>7</v>
      </c>
      <c r="H1543">
        <v>72</v>
      </c>
      <c r="I1543">
        <v>61.9</v>
      </c>
      <c r="J1543" t="s">
        <v>549</v>
      </c>
    </row>
    <row r="1544" spans="1:10" x14ac:dyDescent="0.25">
      <c r="A1544">
        <v>16</v>
      </c>
      <c r="B1544" t="s">
        <v>487</v>
      </c>
      <c r="C1544" t="s">
        <v>19</v>
      </c>
      <c r="D1544">
        <v>5</v>
      </c>
      <c r="E1544" t="s">
        <v>464</v>
      </c>
      <c r="F1544" t="s">
        <v>14</v>
      </c>
      <c r="G1544">
        <v>14</v>
      </c>
      <c r="H1544">
        <v>85</v>
      </c>
      <c r="I1544">
        <v>104.9</v>
      </c>
      <c r="J1544" t="s">
        <v>549</v>
      </c>
    </row>
    <row r="1545" spans="1:10" x14ac:dyDescent="0.25">
      <c r="A1545">
        <v>15</v>
      </c>
      <c r="B1545" t="s">
        <v>486</v>
      </c>
      <c r="C1545" t="s">
        <v>19</v>
      </c>
      <c r="D1545">
        <v>28</v>
      </c>
      <c r="E1545" t="s">
        <v>477</v>
      </c>
      <c r="F1545" t="s">
        <v>25</v>
      </c>
      <c r="G1545">
        <v>2</v>
      </c>
      <c r="H1545">
        <v>33</v>
      </c>
      <c r="I1545">
        <v>38.6</v>
      </c>
      <c r="J1545" t="s">
        <v>549</v>
      </c>
    </row>
    <row r="1546" spans="1:10" x14ac:dyDescent="0.25">
      <c r="A1546">
        <v>15</v>
      </c>
      <c r="B1546" t="s">
        <v>486</v>
      </c>
      <c r="C1546" t="s">
        <v>19</v>
      </c>
      <c r="D1546">
        <v>29</v>
      </c>
      <c r="E1546" t="s">
        <v>472</v>
      </c>
      <c r="F1546" t="s">
        <v>23</v>
      </c>
      <c r="G1546">
        <v>13</v>
      </c>
      <c r="H1546">
        <v>103</v>
      </c>
      <c r="I1546">
        <v>80.400000000000006</v>
      </c>
      <c r="J1546" t="s">
        <v>549</v>
      </c>
    </row>
    <row r="1547" spans="1:10" x14ac:dyDescent="0.25">
      <c r="A1547">
        <v>15</v>
      </c>
      <c r="B1547" t="s">
        <v>486</v>
      </c>
      <c r="C1547" t="s">
        <v>19</v>
      </c>
      <c r="D1547">
        <v>26</v>
      </c>
      <c r="E1547" t="s">
        <v>519</v>
      </c>
      <c r="F1547" t="s">
        <v>25</v>
      </c>
      <c r="G1547">
        <v>17</v>
      </c>
      <c r="H1547">
        <v>89</v>
      </c>
      <c r="I1547">
        <v>121.7</v>
      </c>
      <c r="J1547" t="s">
        <v>549</v>
      </c>
    </row>
    <row r="1548" spans="1:10" x14ac:dyDescent="0.25">
      <c r="A1548">
        <v>15</v>
      </c>
      <c r="B1548" t="s">
        <v>486</v>
      </c>
      <c r="C1548" t="s">
        <v>19</v>
      </c>
      <c r="D1548">
        <v>23</v>
      </c>
      <c r="E1548" t="s">
        <v>506</v>
      </c>
      <c r="F1548" t="s">
        <v>23</v>
      </c>
      <c r="G1548">
        <v>18</v>
      </c>
      <c r="H1548">
        <v>119</v>
      </c>
      <c r="I1548">
        <v>96.4</v>
      </c>
      <c r="J1548" t="s">
        <v>549</v>
      </c>
    </row>
    <row r="1549" spans="1:10" x14ac:dyDescent="0.25">
      <c r="A1549">
        <v>14</v>
      </c>
      <c r="B1549" t="s">
        <v>485</v>
      </c>
      <c r="C1549" t="s">
        <v>19</v>
      </c>
      <c r="D1549">
        <v>27</v>
      </c>
      <c r="E1549" t="s">
        <v>526</v>
      </c>
      <c r="F1549" t="s">
        <v>25</v>
      </c>
      <c r="G1549">
        <v>34</v>
      </c>
      <c r="H1549">
        <v>293</v>
      </c>
      <c r="I1549">
        <v>73.900000000000006</v>
      </c>
      <c r="J1549" t="s">
        <v>549</v>
      </c>
    </row>
    <row r="1550" spans="1:10" x14ac:dyDescent="0.25">
      <c r="A1550">
        <v>14</v>
      </c>
      <c r="B1550" t="s">
        <v>485</v>
      </c>
      <c r="C1550" t="s">
        <v>19</v>
      </c>
      <c r="D1550">
        <v>28</v>
      </c>
      <c r="E1550" t="s">
        <v>477</v>
      </c>
      <c r="F1550" t="s">
        <v>25</v>
      </c>
      <c r="G1550">
        <v>22</v>
      </c>
      <c r="H1550">
        <v>63</v>
      </c>
      <c r="I1550">
        <v>222.4</v>
      </c>
      <c r="J1550" t="s">
        <v>550</v>
      </c>
    </row>
    <row r="1551" spans="1:10" x14ac:dyDescent="0.25">
      <c r="A1551">
        <v>16</v>
      </c>
      <c r="B1551" t="s">
        <v>487</v>
      </c>
      <c r="C1551" t="s">
        <v>19</v>
      </c>
      <c r="D1551">
        <v>10</v>
      </c>
      <c r="E1551" t="s">
        <v>534</v>
      </c>
      <c r="F1551" t="s">
        <v>23</v>
      </c>
      <c r="G1551">
        <v>43</v>
      </c>
      <c r="H1551">
        <v>39</v>
      </c>
      <c r="I1551">
        <v>702.3</v>
      </c>
      <c r="J1551" t="s">
        <v>550</v>
      </c>
    </row>
    <row r="1552" spans="1:10" x14ac:dyDescent="0.25">
      <c r="A1552">
        <v>16</v>
      </c>
      <c r="B1552" t="s">
        <v>487</v>
      </c>
      <c r="C1552" t="s">
        <v>19</v>
      </c>
      <c r="D1552">
        <v>26</v>
      </c>
      <c r="E1552" t="s">
        <v>519</v>
      </c>
      <c r="F1552" t="s">
        <v>25</v>
      </c>
      <c r="G1552">
        <v>19</v>
      </c>
      <c r="H1552">
        <v>65</v>
      </c>
      <c r="I1552">
        <v>186.2</v>
      </c>
      <c r="J1552" t="s">
        <v>550</v>
      </c>
    </row>
    <row r="1553" spans="1:10" x14ac:dyDescent="0.25">
      <c r="A1553">
        <v>15</v>
      </c>
      <c r="B1553" t="s">
        <v>486</v>
      </c>
      <c r="C1553" t="s">
        <v>19</v>
      </c>
      <c r="D1553">
        <v>11</v>
      </c>
      <c r="E1553" t="s">
        <v>469</v>
      </c>
      <c r="F1553" t="s">
        <v>25</v>
      </c>
      <c r="G1553">
        <v>28</v>
      </c>
      <c r="H1553">
        <v>55</v>
      </c>
      <c r="I1553">
        <v>324.3</v>
      </c>
      <c r="J1553" t="s">
        <v>550</v>
      </c>
    </row>
    <row r="1554" spans="1:10" x14ac:dyDescent="0.25">
      <c r="A1554">
        <v>12</v>
      </c>
      <c r="B1554" t="s">
        <v>535</v>
      </c>
      <c r="C1554" t="s">
        <v>19</v>
      </c>
      <c r="D1554">
        <v>28</v>
      </c>
      <c r="E1554" t="s">
        <v>477</v>
      </c>
      <c r="F1554" t="s">
        <v>25</v>
      </c>
      <c r="G1554">
        <v>10</v>
      </c>
      <c r="H1554">
        <v>24</v>
      </c>
      <c r="I1554">
        <v>265.39999999999998</v>
      </c>
      <c r="J1554" t="s">
        <v>550</v>
      </c>
    </row>
    <row r="1555" spans="1:10" x14ac:dyDescent="0.25">
      <c r="A1555">
        <v>12</v>
      </c>
      <c r="B1555" t="s">
        <v>535</v>
      </c>
      <c r="C1555" t="s">
        <v>19</v>
      </c>
      <c r="D1555">
        <v>26</v>
      </c>
      <c r="E1555" t="s">
        <v>519</v>
      </c>
      <c r="F1555" t="s">
        <v>25</v>
      </c>
      <c r="G1555">
        <v>20</v>
      </c>
      <c r="H1555">
        <v>61</v>
      </c>
      <c r="I1555">
        <v>208.9</v>
      </c>
      <c r="J1555" t="s">
        <v>550</v>
      </c>
    </row>
    <row r="1556" spans="1:10" x14ac:dyDescent="0.25">
      <c r="A1556">
        <v>12</v>
      </c>
      <c r="B1556" t="s">
        <v>535</v>
      </c>
      <c r="C1556" t="s">
        <v>19</v>
      </c>
      <c r="D1556">
        <v>23</v>
      </c>
      <c r="E1556" t="s">
        <v>506</v>
      </c>
      <c r="F1556" t="s">
        <v>23</v>
      </c>
      <c r="G1556">
        <v>15</v>
      </c>
      <c r="H1556">
        <v>29</v>
      </c>
      <c r="I1556">
        <v>329.5</v>
      </c>
      <c r="J1556" t="s">
        <v>550</v>
      </c>
    </row>
    <row r="1557" spans="1:10" x14ac:dyDescent="0.25">
      <c r="A1557">
        <v>12</v>
      </c>
      <c r="B1557" t="s">
        <v>535</v>
      </c>
      <c r="C1557" t="s">
        <v>19</v>
      </c>
      <c r="D1557">
        <v>20</v>
      </c>
      <c r="E1557" t="s">
        <v>533</v>
      </c>
      <c r="F1557" t="s">
        <v>28</v>
      </c>
      <c r="G1557">
        <v>15</v>
      </c>
      <c r="H1557">
        <v>46</v>
      </c>
      <c r="I1557">
        <v>207.7</v>
      </c>
      <c r="J1557" t="s">
        <v>550</v>
      </c>
    </row>
    <row r="1558" spans="1:10" x14ac:dyDescent="0.25">
      <c r="A1558">
        <v>20</v>
      </c>
      <c r="B1558" t="s">
        <v>491</v>
      </c>
      <c r="C1558" t="s">
        <v>19</v>
      </c>
      <c r="D1558">
        <v>26</v>
      </c>
      <c r="E1558" t="s">
        <v>519</v>
      </c>
      <c r="F1558" t="s">
        <v>25</v>
      </c>
      <c r="G1558">
        <v>12</v>
      </c>
      <c r="H1558">
        <v>13</v>
      </c>
      <c r="I1558">
        <v>588</v>
      </c>
      <c r="J1558" t="s">
        <v>550</v>
      </c>
    </row>
    <row r="1559" spans="1:10" x14ac:dyDescent="0.25">
      <c r="A1559">
        <v>18</v>
      </c>
      <c r="B1559" t="s">
        <v>488</v>
      </c>
      <c r="C1559" t="s">
        <v>19</v>
      </c>
      <c r="D1559">
        <v>29</v>
      </c>
      <c r="E1559" t="s">
        <v>472</v>
      </c>
      <c r="F1559" t="s">
        <v>23</v>
      </c>
      <c r="G1559">
        <v>28</v>
      </c>
      <c r="H1559">
        <v>93</v>
      </c>
      <c r="I1559">
        <v>191.8</v>
      </c>
      <c r="J1559" t="s">
        <v>550</v>
      </c>
    </row>
    <row r="1560" spans="1:10" x14ac:dyDescent="0.25">
      <c r="A1560">
        <v>18</v>
      </c>
      <c r="B1560" t="s">
        <v>488</v>
      </c>
      <c r="C1560" t="s">
        <v>19</v>
      </c>
      <c r="D1560">
        <v>33</v>
      </c>
      <c r="E1560" t="s">
        <v>490</v>
      </c>
      <c r="F1560" t="s">
        <v>23</v>
      </c>
      <c r="G1560">
        <v>9</v>
      </c>
      <c r="H1560">
        <v>21</v>
      </c>
      <c r="I1560">
        <v>273</v>
      </c>
      <c r="J1560" t="s">
        <v>550</v>
      </c>
    </row>
    <row r="1561" spans="1:10" x14ac:dyDescent="0.25">
      <c r="A1561">
        <v>19</v>
      </c>
      <c r="B1561" t="s">
        <v>489</v>
      </c>
      <c r="C1561" t="s">
        <v>26</v>
      </c>
      <c r="D1561">
        <v>4</v>
      </c>
      <c r="E1561" t="s">
        <v>504</v>
      </c>
      <c r="F1561" t="s">
        <v>14</v>
      </c>
      <c r="G1561">
        <v>18</v>
      </c>
      <c r="H1561">
        <v>57</v>
      </c>
      <c r="I1561">
        <v>201.2</v>
      </c>
      <c r="J1561" t="s">
        <v>550</v>
      </c>
    </row>
    <row r="1562" spans="1:10" x14ac:dyDescent="0.25">
      <c r="A1562">
        <v>8</v>
      </c>
      <c r="B1562" t="s">
        <v>480</v>
      </c>
      <c r="C1562" t="s">
        <v>19</v>
      </c>
      <c r="D1562">
        <v>28</v>
      </c>
      <c r="E1562" t="s">
        <v>477</v>
      </c>
      <c r="F1562" t="s">
        <v>25</v>
      </c>
      <c r="G1562">
        <v>20</v>
      </c>
      <c r="H1562">
        <v>16</v>
      </c>
      <c r="I1562">
        <v>796.3</v>
      </c>
      <c r="J1562" t="s">
        <v>550</v>
      </c>
    </row>
    <row r="1563" spans="1:10" x14ac:dyDescent="0.25">
      <c r="A1563">
        <v>7</v>
      </c>
      <c r="B1563" t="s">
        <v>479</v>
      </c>
      <c r="C1563" t="s">
        <v>19</v>
      </c>
      <c r="D1563">
        <v>33</v>
      </c>
      <c r="E1563" t="s">
        <v>490</v>
      </c>
      <c r="F1563" t="s">
        <v>23</v>
      </c>
      <c r="G1563">
        <v>18</v>
      </c>
      <c r="H1563">
        <v>56</v>
      </c>
      <c r="I1563">
        <v>204.8</v>
      </c>
      <c r="J1563" t="s">
        <v>550</v>
      </c>
    </row>
    <row r="1564" spans="1:10" x14ac:dyDescent="0.25">
      <c r="A1564">
        <v>6</v>
      </c>
      <c r="B1564" t="s">
        <v>478</v>
      </c>
      <c r="C1564" t="s">
        <v>26</v>
      </c>
      <c r="D1564">
        <v>23</v>
      </c>
      <c r="E1564" t="s">
        <v>506</v>
      </c>
      <c r="F1564" t="s">
        <v>23</v>
      </c>
      <c r="G1564">
        <v>15</v>
      </c>
      <c r="H1564">
        <v>36</v>
      </c>
      <c r="I1564">
        <v>265.39999999999998</v>
      </c>
      <c r="J1564" t="s">
        <v>550</v>
      </c>
    </row>
    <row r="1565" spans="1:10" x14ac:dyDescent="0.25">
      <c r="A1565">
        <v>6</v>
      </c>
      <c r="B1565" t="s">
        <v>478</v>
      </c>
      <c r="C1565" t="s">
        <v>26</v>
      </c>
      <c r="D1565">
        <v>29</v>
      </c>
      <c r="E1565" t="s">
        <v>472</v>
      </c>
      <c r="F1565" t="s">
        <v>23</v>
      </c>
      <c r="G1565">
        <v>10</v>
      </c>
      <c r="H1565">
        <v>6</v>
      </c>
      <c r="I1565">
        <v>1061.7</v>
      </c>
      <c r="J1565" t="s">
        <v>550</v>
      </c>
    </row>
    <row r="1566" spans="1:10" x14ac:dyDescent="0.25">
      <c r="A1566">
        <v>10</v>
      </c>
      <c r="B1566" t="s">
        <v>541</v>
      </c>
      <c r="C1566" t="s">
        <v>19</v>
      </c>
      <c r="D1566">
        <v>28</v>
      </c>
      <c r="E1566" t="s">
        <v>477</v>
      </c>
      <c r="F1566" t="s">
        <v>25</v>
      </c>
      <c r="G1566">
        <v>19</v>
      </c>
      <c r="H1566">
        <v>49</v>
      </c>
      <c r="I1566">
        <v>247</v>
      </c>
      <c r="J1566" t="s">
        <v>550</v>
      </c>
    </row>
    <row r="1567" spans="1:10" x14ac:dyDescent="0.25">
      <c r="A1567">
        <v>6</v>
      </c>
      <c r="B1567" t="s">
        <v>478</v>
      </c>
      <c r="C1567" t="s">
        <v>26</v>
      </c>
      <c r="D1567">
        <v>16</v>
      </c>
      <c r="E1567" t="s">
        <v>513</v>
      </c>
      <c r="F1567" t="s">
        <v>14</v>
      </c>
      <c r="G1567">
        <v>10</v>
      </c>
      <c r="H1567">
        <v>16</v>
      </c>
      <c r="I1567">
        <v>398.1</v>
      </c>
      <c r="J1567" t="s">
        <v>550</v>
      </c>
    </row>
    <row r="1568" spans="1:10" x14ac:dyDescent="0.25">
      <c r="A1568">
        <v>31</v>
      </c>
      <c r="B1568" t="s">
        <v>542</v>
      </c>
      <c r="C1568" t="s">
        <v>15</v>
      </c>
      <c r="D1568">
        <v>10</v>
      </c>
      <c r="E1568" t="s">
        <v>534</v>
      </c>
      <c r="F1568" t="s">
        <v>23</v>
      </c>
      <c r="G1568">
        <v>139</v>
      </c>
      <c r="H1568">
        <v>169</v>
      </c>
      <c r="I1568">
        <v>523.9</v>
      </c>
      <c r="J1568" t="s">
        <v>550</v>
      </c>
    </row>
    <row r="1569" spans="1:10" x14ac:dyDescent="0.25">
      <c r="A1569">
        <v>30</v>
      </c>
      <c r="B1569" t="s">
        <v>543</v>
      </c>
      <c r="C1569" t="s">
        <v>15</v>
      </c>
      <c r="D1569">
        <v>21</v>
      </c>
      <c r="E1569" t="s">
        <v>476</v>
      </c>
      <c r="F1569" t="s">
        <v>28</v>
      </c>
      <c r="G1569">
        <v>18</v>
      </c>
      <c r="H1569">
        <v>64</v>
      </c>
      <c r="I1569">
        <v>179.2</v>
      </c>
      <c r="J1569" t="s">
        <v>550</v>
      </c>
    </row>
    <row r="1570" spans="1:10" x14ac:dyDescent="0.25">
      <c r="A1570">
        <v>26</v>
      </c>
      <c r="B1570" t="s">
        <v>544</v>
      </c>
      <c r="C1570" t="s">
        <v>26</v>
      </c>
      <c r="D1570">
        <v>10</v>
      </c>
      <c r="E1570" t="s">
        <v>534</v>
      </c>
      <c r="F1570" t="s">
        <v>23</v>
      </c>
      <c r="G1570">
        <v>25</v>
      </c>
      <c r="H1570">
        <v>76</v>
      </c>
      <c r="I1570">
        <v>209.5</v>
      </c>
      <c r="J1570" t="s">
        <v>550</v>
      </c>
    </row>
    <row r="1571" spans="1:10" x14ac:dyDescent="0.25">
      <c r="A1571">
        <v>24</v>
      </c>
      <c r="B1571" t="s">
        <v>494</v>
      </c>
      <c r="C1571" t="s">
        <v>19</v>
      </c>
      <c r="D1571">
        <v>26</v>
      </c>
      <c r="E1571" t="s">
        <v>519</v>
      </c>
      <c r="F1571" t="s">
        <v>25</v>
      </c>
      <c r="G1571">
        <v>21</v>
      </c>
      <c r="H1571">
        <v>74</v>
      </c>
      <c r="I1571">
        <v>180.8</v>
      </c>
      <c r="J1571" t="s">
        <v>550</v>
      </c>
    </row>
    <row r="1572" spans="1:10" x14ac:dyDescent="0.25">
      <c r="A1572">
        <v>22</v>
      </c>
      <c r="B1572" t="s">
        <v>492</v>
      </c>
      <c r="C1572" t="s">
        <v>26</v>
      </c>
      <c r="D1572">
        <v>32</v>
      </c>
      <c r="E1572" t="s">
        <v>507</v>
      </c>
      <c r="F1572" t="s">
        <v>28</v>
      </c>
      <c r="G1572">
        <v>38</v>
      </c>
      <c r="H1572">
        <v>85</v>
      </c>
      <c r="I1572">
        <v>284.8</v>
      </c>
      <c r="J1572" t="s">
        <v>550</v>
      </c>
    </row>
    <row r="1573" spans="1:10" x14ac:dyDescent="0.25">
      <c r="A1573">
        <v>20</v>
      </c>
      <c r="B1573" t="s">
        <v>491</v>
      </c>
      <c r="C1573" t="s">
        <v>19</v>
      </c>
      <c r="D1573">
        <v>29</v>
      </c>
      <c r="E1573" t="s">
        <v>472</v>
      </c>
      <c r="F1573" t="s">
        <v>23</v>
      </c>
      <c r="G1573">
        <v>9</v>
      </c>
      <c r="H1573">
        <v>29</v>
      </c>
      <c r="I1573">
        <v>197.7</v>
      </c>
      <c r="J1573" t="s">
        <v>550</v>
      </c>
    </row>
    <row r="1574" spans="1:10" x14ac:dyDescent="0.25">
      <c r="A1574">
        <v>23</v>
      </c>
      <c r="B1574" t="s">
        <v>545</v>
      </c>
      <c r="C1574" t="s">
        <v>26</v>
      </c>
      <c r="D1574">
        <v>28</v>
      </c>
      <c r="E1574" t="s">
        <v>477</v>
      </c>
      <c r="F1574" t="s">
        <v>25</v>
      </c>
      <c r="G1574">
        <v>48</v>
      </c>
      <c r="H1574">
        <v>91</v>
      </c>
      <c r="I1574">
        <v>336</v>
      </c>
      <c r="J1574" t="s">
        <v>550</v>
      </c>
    </row>
    <row r="1575" spans="1:10" x14ac:dyDescent="0.25">
      <c r="A1575">
        <v>41</v>
      </c>
      <c r="B1575" t="s">
        <v>511</v>
      </c>
      <c r="C1575" t="s">
        <v>19</v>
      </c>
      <c r="D1575">
        <v>12</v>
      </c>
      <c r="E1575" t="s">
        <v>475</v>
      </c>
      <c r="F1575" t="s">
        <v>28</v>
      </c>
      <c r="G1575">
        <v>19</v>
      </c>
      <c r="H1575">
        <v>59</v>
      </c>
      <c r="I1575">
        <v>205.1</v>
      </c>
      <c r="J1575" t="s">
        <v>550</v>
      </c>
    </row>
    <row r="1576" spans="1:10" x14ac:dyDescent="0.25">
      <c r="A1576">
        <v>38</v>
      </c>
      <c r="B1576" t="s">
        <v>508</v>
      </c>
      <c r="C1576" t="s">
        <v>19</v>
      </c>
      <c r="D1576">
        <v>29</v>
      </c>
      <c r="E1576" t="s">
        <v>472</v>
      </c>
      <c r="F1576" t="s">
        <v>23</v>
      </c>
      <c r="G1576">
        <v>25</v>
      </c>
      <c r="H1576">
        <v>93</v>
      </c>
      <c r="I1576">
        <v>171.2</v>
      </c>
      <c r="J1576" t="s">
        <v>550</v>
      </c>
    </row>
    <row r="1577" spans="1:10" x14ac:dyDescent="0.25">
      <c r="A1577">
        <v>35</v>
      </c>
      <c r="B1577" t="s">
        <v>502</v>
      </c>
      <c r="C1577" t="s">
        <v>19</v>
      </c>
      <c r="D1577">
        <v>28</v>
      </c>
      <c r="E1577" t="s">
        <v>477</v>
      </c>
      <c r="F1577" t="s">
        <v>25</v>
      </c>
      <c r="G1577">
        <v>20</v>
      </c>
      <c r="H1577">
        <v>44</v>
      </c>
      <c r="I1577">
        <v>289.5</v>
      </c>
      <c r="J1577" t="s">
        <v>550</v>
      </c>
    </row>
    <row r="1578" spans="1:10" x14ac:dyDescent="0.25">
      <c r="A1578">
        <v>35</v>
      </c>
      <c r="B1578" t="s">
        <v>502</v>
      </c>
      <c r="C1578" t="s">
        <v>19</v>
      </c>
      <c r="D1578">
        <v>33</v>
      </c>
      <c r="E1578" t="s">
        <v>490</v>
      </c>
      <c r="F1578" t="s">
        <v>23</v>
      </c>
      <c r="G1578">
        <v>14</v>
      </c>
      <c r="H1578">
        <v>38</v>
      </c>
      <c r="I1578">
        <v>234.7</v>
      </c>
      <c r="J1578" t="s">
        <v>550</v>
      </c>
    </row>
    <row r="1579" spans="1:10" x14ac:dyDescent="0.25">
      <c r="A1579">
        <v>36</v>
      </c>
      <c r="B1579" t="s">
        <v>503</v>
      </c>
      <c r="C1579" t="s">
        <v>19</v>
      </c>
      <c r="D1579">
        <v>21</v>
      </c>
      <c r="E1579" t="s">
        <v>476</v>
      </c>
      <c r="F1579" t="s">
        <v>28</v>
      </c>
      <c r="G1579">
        <v>33</v>
      </c>
      <c r="H1579">
        <v>110</v>
      </c>
      <c r="I1579">
        <v>191.1</v>
      </c>
      <c r="J1579" t="s">
        <v>550</v>
      </c>
    </row>
    <row r="1580" spans="1:10" x14ac:dyDescent="0.25">
      <c r="A1580">
        <v>36</v>
      </c>
      <c r="B1580" t="s">
        <v>503</v>
      </c>
      <c r="C1580" t="s">
        <v>19</v>
      </c>
      <c r="D1580">
        <v>22</v>
      </c>
      <c r="E1580" t="s">
        <v>536</v>
      </c>
      <c r="F1580" t="s">
        <v>14</v>
      </c>
      <c r="G1580">
        <v>21</v>
      </c>
      <c r="H1580">
        <v>54</v>
      </c>
      <c r="I1580">
        <v>247.7</v>
      </c>
      <c r="J1580" t="s">
        <v>550</v>
      </c>
    </row>
    <row r="1581" spans="1:10" x14ac:dyDescent="0.25">
      <c r="A1581">
        <v>36</v>
      </c>
      <c r="B1581" t="s">
        <v>503</v>
      </c>
      <c r="C1581" t="s">
        <v>19</v>
      </c>
      <c r="D1581">
        <v>28</v>
      </c>
      <c r="E1581" t="s">
        <v>477</v>
      </c>
      <c r="F1581" t="s">
        <v>25</v>
      </c>
      <c r="G1581">
        <v>7</v>
      </c>
      <c r="H1581">
        <v>22</v>
      </c>
      <c r="I1581">
        <v>202.7</v>
      </c>
      <c r="J1581" t="s">
        <v>550</v>
      </c>
    </row>
    <row r="1582" spans="1:10" x14ac:dyDescent="0.25">
      <c r="A1582">
        <v>35</v>
      </c>
      <c r="B1582" t="s">
        <v>502</v>
      </c>
      <c r="C1582" t="s">
        <v>19</v>
      </c>
      <c r="D1582">
        <v>11</v>
      </c>
      <c r="E1582" t="s">
        <v>469</v>
      </c>
      <c r="F1582" t="s">
        <v>25</v>
      </c>
      <c r="G1582">
        <v>8</v>
      </c>
      <c r="H1582">
        <v>16</v>
      </c>
      <c r="I1582">
        <v>318.5</v>
      </c>
      <c r="J1582" t="s">
        <v>550</v>
      </c>
    </row>
    <row r="1583" spans="1:10" x14ac:dyDescent="0.25">
      <c r="A1583">
        <v>34</v>
      </c>
      <c r="B1583" t="s">
        <v>501</v>
      </c>
      <c r="C1583" t="s">
        <v>19</v>
      </c>
      <c r="D1583">
        <v>23</v>
      </c>
      <c r="E1583" t="s">
        <v>506</v>
      </c>
      <c r="F1583" t="s">
        <v>23</v>
      </c>
      <c r="G1583">
        <v>13</v>
      </c>
      <c r="H1583">
        <v>23</v>
      </c>
      <c r="I1583">
        <v>360.1</v>
      </c>
      <c r="J1583" t="s">
        <v>550</v>
      </c>
    </row>
    <row r="1584" spans="1:10" x14ac:dyDescent="0.25">
      <c r="A1584">
        <v>34</v>
      </c>
      <c r="B1584" t="s">
        <v>501</v>
      </c>
      <c r="C1584" t="s">
        <v>19</v>
      </c>
      <c r="D1584">
        <v>35</v>
      </c>
      <c r="E1584" t="s">
        <v>539</v>
      </c>
      <c r="F1584" t="s">
        <v>14</v>
      </c>
      <c r="G1584">
        <v>20</v>
      </c>
      <c r="H1584">
        <v>66</v>
      </c>
      <c r="I1584">
        <v>193</v>
      </c>
      <c r="J1584" t="s">
        <v>550</v>
      </c>
    </row>
    <row r="1585" spans="1:10" x14ac:dyDescent="0.25">
      <c r="A1585">
        <v>33</v>
      </c>
      <c r="B1585" t="s">
        <v>500</v>
      </c>
      <c r="C1585" t="s">
        <v>15</v>
      </c>
      <c r="D1585">
        <v>35</v>
      </c>
      <c r="E1585" t="s">
        <v>539</v>
      </c>
      <c r="F1585" t="s">
        <v>14</v>
      </c>
      <c r="G1585">
        <v>18</v>
      </c>
      <c r="H1585">
        <v>47</v>
      </c>
      <c r="I1585">
        <v>244</v>
      </c>
      <c r="J1585" t="s">
        <v>550</v>
      </c>
    </row>
    <row r="1586" spans="1:10" x14ac:dyDescent="0.25">
      <c r="A1586">
        <v>32</v>
      </c>
      <c r="B1586" t="s">
        <v>499</v>
      </c>
      <c r="C1586" t="s">
        <v>21</v>
      </c>
      <c r="D1586">
        <v>26</v>
      </c>
      <c r="E1586" t="s">
        <v>519</v>
      </c>
      <c r="F1586" t="s">
        <v>25</v>
      </c>
      <c r="G1586">
        <v>11</v>
      </c>
      <c r="H1586">
        <v>27</v>
      </c>
      <c r="I1586">
        <v>259.5</v>
      </c>
      <c r="J1586" t="s">
        <v>550</v>
      </c>
    </row>
    <row r="1587" spans="1:10" x14ac:dyDescent="0.25">
      <c r="A1587">
        <v>32</v>
      </c>
      <c r="B1587" t="s">
        <v>499</v>
      </c>
      <c r="C1587" t="s">
        <v>21</v>
      </c>
      <c r="D1587">
        <v>34</v>
      </c>
      <c r="E1587" t="s">
        <v>467</v>
      </c>
      <c r="F1587" t="s">
        <v>17</v>
      </c>
      <c r="G1587">
        <v>20</v>
      </c>
      <c r="H1587">
        <v>61</v>
      </c>
      <c r="I1587">
        <v>208.9</v>
      </c>
      <c r="J1587" t="s">
        <v>550</v>
      </c>
    </row>
    <row r="1588" spans="1:10" x14ac:dyDescent="0.25">
      <c r="A1588">
        <v>48</v>
      </c>
      <c r="B1588" t="s">
        <v>516</v>
      </c>
      <c r="C1588" t="s">
        <v>26</v>
      </c>
      <c r="D1588">
        <v>29</v>
      </c>
      <c r="E1588" t="s">
        <v>472</v>
      </c>
      <c r="F1588" t="s">
        <v>23</v>
      </c>
      <c r="G1588">
        <v>20</v>
      </c>
      <c r="H1588">
        <v>39</v>
      </c>
      <c r="I1588">
        <v>326.7</v>
      </c>
      <c r="J1588" t="s">
        <v>550</v>
      </c>
    </row>
    <row r="1589" spans="1:10" x14ac:dyDescent="0.25">
      <c r="A1589">
        <v>47</v>
      </c>
      <c r="B1589" t="s">
        <v>546</v>
      </c>
      <c r="C1589" t="s">
        <v>26</v>
      </c>
      <c r="D1589">
        <v>21</v>
      </c>
      <c r="E1589" t="s">
        <v>476</v>
      </c>
      <c r="F1589" t="s">
        <v>28</v>
      </c>
      <c r="G1589">
        <v>25</v>
      </c>
      <c r="H1589">
        <v>63</v>
      </c>
      <c r="I1589">
        <v>252.8</v>
      </c>
      <c r="J1589" t="s">
        <v>550</v>
      </c>
    </row>
    <row r="1590" spans="1:10" x14ac:dyDescent="0.25">
      <c r="A1590">
        <v>44</v>
      </c>
      <c r="B1590" t="s">
        <v>514</v>
      </c>
      <c r="C1590" t="s">
        <v>21</v>
      </c>
      <c r="D1590">
        <v>34</v>
      </c>
      <c r="E1590" t="s">
        <v>467</v>
      </c>
      <c r="F1590" t="s">
        <v>17</v>
      </c>
      <c r="G1590">
        <v>22</v>
      </c>
      <c r="H1590">
        <v>43</v>
      </c>
      <c r="I1590">
        <v>325.89999999999998</v>
      </c>
      <c r="J1590" t="s">
        <v>550</v>
      </c>
    </row>
    <row r="1591" spans="1:10" x14ac:dyDescent="0.25">
      <c r="A1591">
        <v>46</v>
      </c>
      <c r="B1591" t="s">
        <v>547</v>
      </c>
      <c r="C1591" t="s">
        <v>19</v>
      </c>
      <c r="D1591">
        <v>26</v>
      </c>
      <c r="E1591" t="s">
        <v>519</v>
      </c>
      <c r="F1591" t="s">
        <v>25</v>
      </c>
      <c r="G1591">
        <v>14</v>
      </c>
      <c r="H1591">
        <v>17</v>
      </c>
      <c r="I1591">
        <v>524.6</v>
      </c>
      <c r="J1591" t="s">
        <v>550</v>
      </c>
    </row>
    <row r="1592" spans="1:10" x14ac:dyDescent="0.25">
      <c r="A1592">
        <v>44</v>
      </c>
      <c r="B1592" t="s">
        <v>514</v>
      </c>
      <c r="C1592" t="s">
        <v>21</v>
      </c>
      <c r="D1592">
        <v>5</v>
      </c>
      <c r="E1592" t="s">
        <v>464</v>
      </c>
      <c r="F1592" t="s">
        <v>14</v>
      </c>
      <c r="G1592">
        <v>14</v>
      </c>
      <c r="H1592">
        <v>24</v>
      </c>
      <c r="I1592">
        <v>371.6</v>
      </c>
      <c r="J1592" t="s">
        <v>550</v>
      </c>
    </row>
    <row r="1593" spans="1:10" x14ac:dyDescent="0.25">
      <c r="A1593">
        <v>42</v>
      </c>
      <c r="B1593" t="s">
        <v>512</v>
      </c>
      <c r="C1593" t="s">
        <v>26</v>
      </c>
      <c r="D1593">
        <v>21</v>
      </c>
      <c r="E1593" t="s">
        <v>476</v>
      </c>
      <c r="F1593" t="s">
        <v>28</v>
      </c>
      <c r="G1593">
        <v>69</v>
      </c>
      <c r="H1593">
        <v>165</v>
      </c>
      <c r="I1593">
        <v>266.39999999999998</v>
      </c>
      <c r="J1593" t="s">
        <v>550</v>
      </c>
    </row>
    <row r="1594" spans="1:10" x14ac:dyDescent="0.25">
      <c r="A1594">
        <v>42</v>
      </c>
      <c r="B1594" t="s">
        <v>512</v>
      </c>
      <c r="C1594" t="s">
        <v>26</v>
      </c>
      <c r="D1594">
        <v>33</v>
      </c>
      <c r="E1594" t="s">
        <v>490</v>
      </c>
      <c r="F1594" t="s">
        <v>23</v>
      </c>
      <c r="G1594">
        <v>18</v>
      </c>
      <c r="H1594">
        <v>44</v>
      </c>
      <c r="I1594">
        <v>260.60000000000002</v>
      </c>
      <c r="J1594" t="s">
        <v>550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5489F-2B39-4CF8-9D58-6363D315A68B}">
  <dimension ref="A1:K36"/>
  <sheetViews>
    <sheetView workbookViewId="0">
      <selection activeCell="G12" sqref="G12"/>
    </sheetView>
  </sheetViews>
  <sheetFormatPr defaultRowHeight="15" x14ac:dyDescent="0.25"/>
  <cols>
    <col min="1" max="1" width="11.7109375" bestFit="1" customWidth="1"/>
    <col min="2" max="2" width="14.42578125" bestFit="1" customWidth="1"/>
    <col min="3" max="3" width="19.5703125" bestFit="1" customWidth="1"/>
    <col min="4" max="4" width="19.7109375" bestFit="1" customWidth="1"/>
    <col min="5" max="5" width="17.7109375" bestFit="1" customWidth="1"/>
    <col min="6" max="6" width="15.85546875" bestFit="1" customWidth="1"/>
    <col min="7" max="7" width="12.42578125" bestFit="1" customWidth="1"/>
    <col min="8" max="8" width="19.140625" bestFit="1" customWidth="1"/>
    <col min="9" max="9" width="23" bestFit="1" customWidth="1"/>
    <col min="10" max="10" width="22.140625" bestFit="1" customWidth="1"/>
    <col min="11" max="11" width="20.7109375" bestFit="1" customWidth="1"/>
  </cols>
  <sheetData>
    <row r="1" spans="1:11" x14ac:dyDescent="0.25">
      <c r="A1" t="s">
        <v>0</v>
      </c>
      <c r="B1" t="s">
        <v>3</v>
      </c>
      <c r="C1" t="s">
        <v>451</v>
      </c>
      <c r="D1" t="s">
        <v>6</v>
      </c>
      <c r="E1" t="s">
        <v>7</v>
      </c>
      <c r="F1" t="s">
        <v>8</v>
      </c>
      <c r="G1" t="s">
        <v>9</v>
      </c>
      <c r="H1" t="s">
        <v>10</v>
      </c>
      <c r="I1" t="s">
        <v>11</v>
      </c>
      <c r="J1" t="s">
        <v>452</v>
      </c>
      <c r="K1" t="s">
        <v>453</v>
      </c>
    </row>
    <row r="2" spans="1:11" x14ac:dyDescent="0.25">
      <c r="A2">
        <v>2022</v>
      </c>
      <c r="B2">
        <v>1</v>
      </c>
      <c r="C2" t="s">
        <v>23</v>
      </c>
      <c r="D2">
        <v>27435</v>
      </c>
      <c r="E2">
        <v>32971</v>
      </c>
      <c r="F2">
        <v>640206.29</v>
      </c>
      <c r="G2">
        <v>505445.29</v>
      </c>
      <c r="H2">
        <v>134761</v>
      </c>
      <c r="I2">
        <v>23.88</v>
      </c>
      <c r="J2">
        <v>8.56</v>
      </c>
      <c r="K2">
        <v>6.15</v>
      </c>
    </row>
    <row r="3" spans="1:11" x14ac:dyDescent="0.25">
      <c r="A3">
        <v>2022</v>
      </c>
      <c r="B3">
        <v>1</v>
      </c>
      <c r="C3" t="s">
        <v>17</v>
      </c>
      <c r="D3">
        <v>17095</v>
      </c>
      <c r="E3">
        <v>25764</v>
      </c>
      <c r="F3">
        <v>410226.36</v>
      </c>
      <c r="G3">
        <v>210666.36</v>
      </c>
      <c r="H3">
        <v>199560</v>
      </c>
      <c r="I3">
        <v>49.47</v>
      </c>
      <c r="J3">
        <v>5.48</v>
      </c>
      <c r="K3">
        <v>9.11</v>
      </c>
    </row>
    <row r="4" spans="1:11" x14ac:dyDescent="0.25">
      <c r="A4">
        <v>2022</v>
      </c>
      <c r="B4">
        <v>1</v>
      </c>
      <c r="C4" t="s">
        <v>14</v>
      </c>
      <c r="D4">
        <v>18995</v>
      </c>
      <c r="E4">
        <v>24445</v>
      </c>
      <c r="F4">
        <v>277249.55</v>
      </c>
      <c r="G4">
        <v>198195.55</v>
      </c>
      <c r="H4">
        <v>79054</v>
      </c>
      <c r="I4">
        <v>33.909999999999997</v>
      </c>
      <c r="J4">
        <v>3.71</v>
      </c>
      <c r="K4">
        <v>3.61</v>
      </c>
    </row>
    <row r="5" spans="1:11" x14ac:dyDescent="0.25">
      <c r="A5">
        <v>2022</v>
      </c>
      <c r="B5">
        <v>1</v>
      </c>
      <c r="C5" t="s">
        <v>28</v>
      </c>
      <c r="D5">
        <v>13560</v>
      </c>
      <c r="E5">
        <v>16707</v>
      </c>
      <c r="F5">
        <v>225028.93</v>
      </c>
      <c r="G5">
        <v>170391.93</v>
      </c>
      <c r="H5">
        <v>54637</v>
      </c>
      <c r="I5">
        <v>22.07</v>
      </c>
      <c r="J5">
        <v>3.01</v>
      </c>
      <c r="K5">
        <v>2.5</v>
      </c>
    </row>
    <row r="6" spans="1:11" x14ac:dyDescent="0.25">
      <c r="A6">
        <v>2022</v>
      </c>
      <c r="B6">
        <v>1</v>
      </c>
      <c r="C6" t="s">
        <v>25</v>
      </c>
      <c r="D6">
        <v>12489</v>
      </c>
      <c r="E6">
        <v>15038</v>
      </c>
      <c r="F6">
        <v>120680.62</v>
      </c>
      <c r="G6">
        <v>85713.62</v>
      </c>
      <c r="H6">
        <v>34967</v>
      </c>
      <c r="I6">
        <v>28.69</v>
      </c>
      <c r="J6">
        <v>1.61</v>
      </c>
      <c r="K6">
        <v>1.6</v>
      </c>
    </row>
    <row r="7" spans="1:11" x14ac:dyDescent="0.25">
      <c r="A7">
        <v>2022</v>
      </c>
      <c r="B7">
        <v>2</v>
      </c>
      <c r="C7" t="s">
        <v>23</v>
      </c>
      <c r="D7">
        <v>34700</v>
      </c>
      <c r="E7">
        <v>43054</v>
      </c>
      <c r="F7">
        <v>842580.46</v>
      </c>
      <c r="G7">
        <v>667040.46</v>
      </c>
      <c r="H7">
        <v>175540</v>
      </c>
      <c r="I7">
        <v>24.66</v>
      </c>
      <c r="J7">
        <v>11.26</v>
      </c>
      <c r="K7">
        <v>8.02</v>
      </c>
    </row>
    <row r="8" spans="1:11" x14ac:dyDescent="0.25">
      <c r="A8">
        <v>2022</v>
      </c>
      <c r="B8">
        <v>2</v>
      </c>
      <c r="C8" t="s">
        <v>17</v>
      </c>
      <c r="D8">
        <v>15512</v>
      </c>
      <c r="E8">
        <v>22737</v>
      </c>
      <c r="F8">
        <v>362717.63</v>
      </c>
      <c r="G8">
        <v>186791.63</v>
      </c>
      <c r="H8">
        <v>175926</v>
      </c>
      <c r="I8">
        <v>49.39</v>
      </c>
      <c r="J8">
        <v>4.8499999999999996</v>
      </c>
      <c r="K8">
        <v>8.0299999999999994</v>
      </c>
    </row>
    <row r="9" spans="1:11" x14ac:dyDescent="0.25">
      <c r="A9">
        <v>2022</v>
      </c>
      <c r="B9">
        <v>2</v>
      </c>
      <c r="C9" t="s">
        <v>28</v>
      </c>
      <c r="D9">
        <v>18385</v>
      </c>
      <c r="E9">
        <v>25944</v>
      </c>
      <c r="F9">
        <v>319060.56</v>
      </c>
      <c r="G9">
        <v>250795.56</v>
      </c>
      <c r="H9">
        <v>68265</v>
      </c>
      <c r="I9">
        <v>19.91</v>
      </c>
      <c r="J9">
        <v>4.26</v>
      </c>
      <c r="K9">
        <v>3.12</v>
      </c>
    </row>
    <row r="10" spans="1:11" x14ac:dyDescent="0.25">
      <c r="A10">
        <v>2022</v>
      </c>
      <c r="B10">
        <v>2</v>
      </c>
      <c r="C10" t="s">
        <v>14</v>
      </c>
      <c r="D10">
        <v>21420</v>
      </c>
      <c r="E10">
        <v>26458</v>
      </c>
      <c r="F10">
        <v>291675.42</v>
      </c>
      <c r="G10">
        <v>200185.42</v>
      </c>
      <c r="H10">
        <v>91490</v>
      </c>
      <c r="I10">
        <v>37.21</v>
      </c>
      <c r="J10">
        <v>3.9</v>
      </c>
      <c r="K10">
        <v>4.18</v>
      </c>
    </row>
    <row r="11" spans="1:11" x14ac:dyDescent="0.25">
      <c r="A11">
        <v>2022</v>
      </c>
      <c r="B11">
        <v>2</v>
      </c>
      <c r="C11" t="s">
        <v>25</v>
      </c>
      <c r="D11">
        <v>18278</v>
      </c>
      <c r="E11">
        <v>22997</v>
      </c>
      <c r="F11">
        <v>199389.03</v>
      </c>
      <c r="G11">
        <v>143802.03</v>
      </c>
      <c r="H11">
        <v>55587</v>
      </c>
      <c r="I11">
        <v>28.54</v>
      </c>
      <c r="J11">
        <v>2.66</v>
      </c>
      <c r="K11">
        <v>2.54</v>
      </c>
    </row>
    <row r="12" spans="1:11" x14ac:dyDescent="0.25">
      <c r="A12">
        <v>2022</v>
      </c>
      <c r="B12">
        <v>3</v>
      </c>
      <c r="C12" t="s">
        <v>23</v>
      </c>
      <c r="D12">
        <v>25118</v>
      </c>
      <c r="E12">
        <v>29076</v>
      </c>
      <c r="F12">
        <v>536983.24</v>
      </c>
      <c r="G12">
        <v>403977.24</v>
      </c>
      <c r="H12">
        <v>133006</v>
      </c>
      <c r="I12">
        <v>28.79</v>
      </c>
      <c r="J12">
        <v>7.18</v>
      </c>
      <c r="K12">
        <v>6.07</v>
      </c>
    </row>
    <row r="13" spans="1:11" x14ac:dyDescent="0.25">
      <c r="A13">
        <v>2022</v>
      </c>
      <c r="B13">
        <v>3</v>
      </c>
      <c r="C13" t="s">
        <v>17</v>
      </c>
      <c r="D13">
        <v>15238</v>
      </c>
      <c r="E13">
        <v>21226</v>
      </c>
      <c r="F13">
        <v>344533.74</v>
      </c>
      <c r="G13">
        <v>182729.74</v>
      </c>
      <c r="H13">
        <v>161804</v>
      </c>
      <c r="I13">
        <v>47.86</v>
      </c>
      <c r="J13">
        <v>4.5999999999999996</v>
      </c>
      <c r="K13">
        <v>7.39</v>
      </c>
    </row>
    <row r="14" spans="1:11" x14ac:dyDescent="0.25">
      <c r="A14">
        <v>2022</v>
      </c>
      <c r="B14">
        <v>3</v>
      </c>
      <c r="C14" t="s">
        <v>28</v>
      </c>
      <c r="D14">
        <v>17667</v>
      </c>
      <c r="E14">
        <v>24831</v>
      </c>
      <c r="F14">
        <v>297675.69</v>
      </c>
      <c r="G14">
        <v>235604.69</v>
      </c>
      <c r="H14">
        <v>62071</v>
      </c>
      <c r="I14">
        <v>19.66</v>
      </c>
      <c r="J14">
        <v>3.98</v>
      </c>
      <c r="K14">
        <v>2.83</v>
      </c>
    </row>
    <row r="15" spans="1:11" x14ac:dyDescent="0.25">
      <c r="A15">
        <v>2022</v>
      </c>
      <c r="B15">
        <v>3</v>
      </c>
      <c r="C15" t="s">
        <v>14</v>
      </c>
      <c r="D15">
        <v>20535</v>
      </c>
      <c r="E15">
        <v>24329</v>
      </c>
      <c r="F15">
        <v>261031.71</v>
      </c>
      <c r="G15">
        <v>169768.71</v>
      </c>
      <c r="H15">
        <v>91263</v>
      </c>
      <c r="I15">
        <v>40.06</v>
      </c>
      <c r="J15">
        <v>3.49</v>
      </c>
      <c r="K15">
        <v>4.17</v>
      </c>
    </row>
    <row r="16" spans="1:11" x14ac:dyDescent="0.25">
      <c r="A16">
        <v>2022</v>
      </c>
      <c r="B16">
        <v>3</v>
      </c>
      <c r="C16" t="s">
        <v>25</v>
      </c>
      <c r="D16">
        <v>20628</v>
      </c>
      <c r="E16">
        <v>28838</v>
      </c>
      <c r="F16">
        <v>191076.62</v>
      </c>
      <c r="G16">
        <v>136970.62</v>
      </c>
      <c r="H16">
        <v>54106</v>
      </c>
      <c r="I16">
        <v>31.91</v>
      </c>
      <c r="J16">
        <v>2.5499999999999998</v>
      </c>
      <c r="K16">
        <v>2.4700000000000002</v>
      </c>
    </row>
    <row r="17" spans="1:11" x14ac:dyDescent="0.25">
      <c r="A17">
        <v>2022</v>
      </c>
      <c r="B17">
        <v>4</v>
      </c>
      <c r="C17" t="s">
        <v>23</v>
      </c>
      <c r="D17">
        <v>30613</v>
      </c>
      <c r="E17">
        <v>36244</v>
      </c>
      <c r="F17">
        <v>767556.56</v>
      </c>
      <c r="G17">
        <v>601839.56000000006</v>
      </c>
      <c r="H17">
        <v>165717</v>
      </c>
      <c r="I17">
        <v>27.02</v>
      </c>
      <c r="J17">
        <v>10.26</v>
      </c>
      <c r="K17">
        <v>7.57</v>
      </c>
    </row>
    <row r="18" spans="1:11" x14ac:dyDescent="0.25">
      <c r="A18">
        <v>2022</v>
      </c>
      <c r="B18">
        <v>4</v>
      </c>
      <c r="C18" t="s">
        <v>14</v>
      </c>
      <c r="D18">
        <v>26450</v>
      </c>
      <c r="E18">
        <v>33209</v>
      </c>
      <c r="F18">
        <v>398686.91</v>
      </c>
      <c r="G18">
        <v>282112.90999999997</v>
      </c>
      <c r="H18">
        <v>116574</v>
      </c>
      <c r="I18">
        <v>35.47</v>
      </c>
      <c r="J18">
        <v>5.33</v>
      </c>
      <c r="K18">
        <v>5.32</v>
      </c>
    </row>
    <row r="19" spans="1:11" x14ac:dyDescent="0.25">
      <c r="A19">
        <v>2022</v>
      </c>
      <c r="B19">
        <v>4</v>
      </c>
      <c r="C19" t="s">
        <v>25</v>
      </c>
      <c r="D19">
        <v>35559</v>
      </c>
      <c r="E19">
        <v>55639</v>
      </c>
      <c r="F19">
        <v>395494.61</v>
      </c>
      <c r="G19">
        <v>267205.61</v>
      </c>
      <c r="H19">
        <v>128289</v>
      </c>
      <c r="I19">
        <v>36.619999999999997</v>
      </c>
      <c r="J19">
        <v>5.29</v>
      </c>
      <c r="K19">
        <v>5.86</v>
      </c>
    </row>
    <row r="20" spans="1:11" x14ac:dyDescent="0.25">
      <c r="A20">
        <v>2022</v>
      </c>
      <c r="B20">
        <v>4</v>
      </c>
      <c r="C20" t="s">
        <v>17</v>
      </c>
      <c r="D20">
        <v>14207</v>
      </c>
      <c r="E20">
        <v>18754</v>
      </c>
      <c r="F20">
        <v>322981.46000000002</v>
      </c>
      <c r="G20">
        <v>185864.46</v>
      </c>
      <c r="H20">
        <v>137117</v>
      </c>
      <c r="I20">
        <v>44.2</v>
      </c>
      <c r="J20">
        <v>4.32</v>
      </c>
      <c r="K20">
        <v>6.26</v>
      </c>
    </row>
    <row r="21" spans="1:11" x14ac:dyDescent="0.25">
      <c r="A21">
        <v>2022</v>
      </c>
      <c r="B21">
        <v>4</v>
      </c>
      <c r="C21" t="s">
        <v>28</v>
      </c>
      <c r="D21">
        <v>16961</v>
      </c>
      <c r="E21">
        <v>21231</v>
      </c>
      <c r="F21">
        <v>277662.69</v>
      </c>
      <c r="G21">
        <v>207609.69</v>
      </c>
      <c r="H21">
        <v>70053</v>
      </c>
      <c r="I21">
        <v>23.59</v>
      </c>
      <c r="J21">
        <v>3.71</v>
      </c>
      <c r="K21">
        <v>3.2</v>
      </c>
    </row>
    <row r="22" spans="1:11" x14ac:dyDescent="0.25">
      <c r="A22">
        <v>2023</v>
      </c>
      <c r="B22">
        <v>1</v>
      </c>
      <c r="C22" t="s">
        <v>23</v>
      </c>
      <c r="D22">
        <v>31371</v>
      </c>
      <c r="E22">
        <v>38298</v>
      </c>
      <c r="F22">
        <v>740685.02</v>
      </c>
      <c r="G22">
        <v>590155.02</v>
      </c>
      <c r="H22">
        <v>150530</v>
      </c>
      <c r="I22">
        <v>24.15</v>
      </c>
      <c r="J22">
        <v>10.64</v>
      </c>
      <c r="K22">
        <v>8.25</v>
      </c>
    </row>
    <row r="23" spans="1:11" x14ac:dyDescent="0.25">
      <c r="A23">
        <v>2023</v>
      </c>
      <c r="B23">
        <v>1</v>
      </c>
      <c r="C23" t="s">
        <v>25</v>
      </c>
      <c r="D23">
        <v>42840</v>
      </c>
      <c r="E23">
        <v>67855</v>
      </c>
      <c r="F23">
        <v>589466.44999999995</v>
      </c>
      <c r="G23">
        <v>433208.45</v>
      </c>
      <c r="H23">
        <v>156258</v>
      </c>
      <c r="I23">
        <v>33.44</v>
      </c>
      <c r="J23">
        <v>8.4700000000000006</v>
      </c>
      <c r="K23">
        <v>8.57</v>
      </c>
    </row>
    <row r="24" spans="1:11" x14ac:dyDescent="0.25">
      <c r="A24">
        <v>2023</v>
      </c>
      <c r="B24">
        <v>1</v>
      </c>
      <c r="C24" t="s">
        <v>14</v>
      </c>
      <c r="D24">
        <v>26436</v>
      </c>
      <c r="E24">
        <v>34219</v>
      </c>
      <c r="F24">
        <v>402806.81</v>
      </c>
      <c r="G24">
        <v>285220.81</v>
      </c>
      <c r="H24">
        <v>117586</v>
      </c>
      <c r="I24">
        <v>34.99</v>
      </c>
      <c r="J24">
        <v>5.79</v>
      </c>
      <c r="K24">
        <v>6.45</v>
      </c>
    </row>
    <row r="25" spans="1:11" x14ac:dyDescent="0.25">
      <c r="A25">
        <v>2023</v>
      </c>
      <c r="B25">
        <v>1</v>
      </c>
      <c r="C25" t="s">
        <v>28</v>
      </c>
      <c r="D25">
        <v>18703</v>
      </c>
      <c r="E25">
        <v>22939</v>
      </c>
      <c r="F25">
        <v>317499.61</v>
      </c>
      <c r="G25">
        <v>237723.61</v>
      </c>
      <c r="H25">
        <v>79776</v>
      </c>
      <c r="I25">
        <v>23.97</v>
      </c>
      <c r="J25">
        <v>4.5599999999999996</v>
      </c>
      <c r="K25">
        <v>4.37</v>
      </c>
    </row>
    <row r="26" spans="1:11" x14ac:dyDescent="0.25">
      <c r="A26">
        <v>2023</v>
      </c>
      <c r="B26">
        <v>1</v>
      </c>
      <c r="C26" t="s">
        <v>17</v>
      </c>
      <c r="D26">
        <v>13319</v>
      </c>
      <c r="E26">
        <v>17084</v>
      </c>
      <c r="F26">
        <v>302886.15999999997</v>
      </c>
      <c r="G26">
        <v>180739.16</v>
      </c>
      <c r="H26">
        <v>122147</v>
      </c>
      <c r="I26">
        <v>42</v>
      </c>
      <c r="J26">
        <v>4.3499999999999996</v>
      </c>
      <c r="K26">
        <v>6.7</v>
      </c>
    </row>
    <row r="27" spans="1:11" x14ac:dyDescent="0.25">
      <c r="A27">
        <v>2023</v>
      </c>
      <c r="B27">
        <v>2</v>
      </c>
      <c r="C27" t="s">
        <v>23</v>
      </c>
      <c r="D27">
        <v>37385</v>
      </c>
      <c r="E27">
        <v>45929</v>
      </c>
      <c r="F27">
        <v>818279.71</v>
      </c>
      <c r="G27">
        <v>646858.71</v>
      </c>
      <c r="H27">
        <v>171421</v>
      </c>
      <c r="I27">
        <v>24.37</v>
      </c>
      <c r="J27">
        <v>11.75</v>
      </c>
      <c r="K27">
        <v>9.4</v>
      </c>
    </row>
    <row r="28" spans="1:11" x14ac:dyDescent="0.25">
      <c r="A28">
        <v>2023</v>
      </c>
      <c r="B28">
        <v>2</v>
      </c>
      <c r="C28" t="s">
        <v>25</v>
      </c>
      <c r="D28">
        <v>47350</v>
      </c>
      <c r="E28">
        <v>73632</v>
      </c>
      <c r="F28">
        <v>659868.68000000005</v>
      </c>
      <c r="G28">
        <v>495172.68</v>
      </c>
      <c r="H28">
        <v>164696</v>
      </c>
      <c r="I28">
        <v>31.69</v>
      </c>
      <c r="J28">
        <v>9.48</v>
      </c>
      <c r="K28">
        <v>9.0299999999999994</v>
      </c>
    </row>
    <row r="29" spans="1:11" x14ac:dyDescent="0.25">
      <c r="A29">
        <v>2023</v>
      </c>
      <c r="B29">
        <v>2</v>
      </c>
      <c r="C29" t="s">
        <v>28</v>
      </c>
      <c r="D29">
        <v>24796</v>
      </c>
      <c r="E29">
        <v>31021</v>
      </c>
      <c r="F29">
        <v>396273.79</v>
      </c>
      <c r="G29">
        <v>304709.78999999998</v>
      </c>
      <c r="H29">
        <v>91564</v>
      </c>
      <c r="I29">
        <v>22.46</v>
      </c>
      <c r="J29">
        <v>5.69</v>
      </c>
      <c r="K29">
        <v>5.0199999999999996</v>
      </c>
    </row>
    <row r="30" spans="1:11" x14ac:dyDescent="0.25">
      <c r="A30">
        <v>2023</v>
      </c>
      <c r="B30">
        <v>2</v>
      </c>
      <c r="C30" t="s">
        <v>14</v>
      </c>
      <c r="D30">
        <v>23359</v>
      </c>
      <c r="E30">
        <v>28606</v>
      </c>
      <c r="F30">
        <v>329204.94</v>
      </c>
      <c r="G30">
        <v>228267.94</v>
      </c>
      <c r="H30">
        <v>100937</v>
      </c>
      <c r="I30">
        <v>36.35</v>
      </c>
      <c r="J30">
        <v>4.7300000000000004</v>
      </c>
      <c r="K30">
        <v>5.53</v>
      </c>
    </row>
    <row r="31" spans="1:11" x14ac:dyDescent="0.25">
      <c r="A31">
        <v>2023</v>
      </c>
      <c r="B31">
        <v>2</v>
      </c>
      <c r="C31" t="s">
        <v>17</v>
      </c>
      <c r="D31">
        <v>11941</v>
      </c>
      <c r="E31">
        <v>14531</v>
      </c>
      <c r="F31">
        <v>257682.69</v>
      </c>
      <c r="G31">
        <v>153645.69</v>
      </c>
      <c r="H31">
        <v>104037</v>
      </c>
      <c r="I31">
        <v>42.29</v>
      </c>
      <c r="J31">
        <v>3.7</v>
      </c>
      <c r="K31">
        <v>5.7</v>
      </c>
    </row>
    <row r="32" spans="1:11" x14ac:dyDescent="0.25">
      <c r="A32">
        <v>2023</v>
      </c>
      <c r="B32">
        <v>3</v>
      </c>
      <c r="C32" t="s">
        <v>23</v>
      </c>
      <c r="D32">
        <v>34605</v>
      </c>
      <c r="E32">
        <v>41628</v>
      </c>
      <c r="F32">
        <v>746949.72</v>
      </c>
      <c r="G32">
        <v>598397.72</v>
      </c>
      <c r="H32">
        <v>148552</v>
      </c>
      <c r="I32">
        <v>23.41</v>
      </c>
      <c r="J32">
        <v>10.73</v>
      </c>
      <c r="K32">
        <v>8.14</v>
      </c>
    </row>
    <row r="33" spans="1:11" x14ac:dyDescent="0.25">
      <c r="A33">
        <v>2023</v>
      </c>
      <c r="B33">
        <v>3</v>
      </c>
      <c r="C33" t="s">
        <v>25</v>
      </c>
      <c r="D33">
        <v>43529</v>
      </c>
      <c r="E33">
        <v>61575</v>
      </c>
      <c r="F33">
        <v>549388.25</v>
      </c>
      <c r="G33">
        <v>389937.25</v>
      </c>
      <c r="H33">
        <v>159451</v>
      </c>
      <c r="I33">
        <v>33.79</v>
      </c>
      <c r="J33">
        <v>7.89</v>
      </c>
      <c r="K33">
        <v>8.74</v>
      </c>
    </row>
    <row r="34" spans="1:11" x14ac:dyDescent="0.25">
      <c r="A34">
        <v>2023</v>
      </c>
      <c r="B34">
        <v>3</v>
      </c>
      <c r="C34" t="s">
        <v>28</v>
      </c>
      <c r="D34">
        <v>21259</v>
      </c>
      <c r="E34">
        <v>26370</v>
      </c>
      <c r="F34">
        <v>339158.3</v>
      </c>
      <c r="G34">
        <v>259806.3</v>
      </c>
      <c r="H34">
        <v>79352</v>
      </c>
      <c r="I34">
        <v>22.66</v>
      </c>
      <c r="J34">
        <v>4.87</v>
      </c>
      <c r="K34">
        <v>4.3499999999999996</v>
      </c>
    </row>
    <row r="35" spans="1:11" x14ac:dyDescent="0.25">
      <c r="A35">
        <v>2023</v>
      </c>
      <c r="B35">
        <v>3</v>
      </c>
      <c r="C35" t="s">
        <v>14</v>
      </c>
      <c r="D35">
        <v>19811</v>
      </c>
      <c r="E35">
        <v>23407</v>
      </c>
      <c r="F35">
        <v>266180.93</v>
      </c>
      <c r="G35">
        <v>189091.93</v>
      </c>
      <c r="H35">
        <v>77089</v>
      </c>
      <c r="I35">
        <v>34.79</v>
      </c>
      <c r="J35">
        <v>3.82</v>
      </c>
      <c r="K35">
        <v>4.2300000000000004</v>
      </c>
    </row>
    <row r="36" spans="1:11" x14ac:dyDescent="0.25">
      <c r="A36">
        <v>2023</v>
      </c>
      <c r="B36">
        <v>3</v>
      </c>
      <c r="C36" t="s">
        <v>17</v>
      </c>
      <c r="D36">
        <v>11713</v>
      </c>
      <c r="E36">
        <v>13979</v>
      </c>
      <c r="F36">
        <v>245743.21</v>
      </c>
      <c r="G36">
        <v>144897.21</v>
      </c>
      <c r="H36">
        <v>100846</v>
      </c>
      <c r="I36">
        <v>43.3</v>
      </c>
      <c r="J36">
        <v>3.53</v>
      </c>
      <c r="K36">
        <v>5.53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38CCC-38CA-47DE-A690-26D489A1FBDD}">
  <dimension ref="A3:F96"/>
  <sheetViews>
    <sheetView topLeftCell="A28" zoomScale="115" zoomScaleNormal="115" workbookViewId="0">
      <selection activeCell="A35" sqref="A35"/>
    </sheetView>
  </sheetViews>
  <sheetFormatPr defaultRowHeight="15" x14ac:dyDescent="0.25"/>
  <cols>
    <col min="1" max="1" width="13.42578125" bestFit="1" customWidth="1"/>
    <col min="2" max="2" width="20.42578125" bestFit="1" customWidth="1"/>
    <col min="3" max="3" width="22.42578125" bestFit="1" customWidth="1"/>
    <col min="4" max="4" width="31" bestFit="1" customWidth="1"/>
    <col min="5" max="5" width="24.28515625" bestFit="1" customWidth="1"/>
  </cols>
  <sheetData>
    <row r="3" spans="1:6" x14ac:dyDescent="0.25">
      <c r="A3" t="s">
        <v>618</v>
      </c>
      <c r="B3" t="s">
        <v>619</v>
      </c>
      <c r="C3" t="s">
        <v>620</v>
      </c>
      <c r="D3" t="s">
        <v>621</v>
      </c>
      <c r="E3" t="s">
        <v>628</v>
      </c>
      <c r="F3" t="s">
        <v>629</v>
      </c>
    </row>
    <row r="4" spans="1:6" x14ac:dyDescent="0.25">
      <c r="A4" s="2">
        <v>14444572.35</v>
      </c>
      <c r="B4" s="2">
        <v>4014029</v>
      </c>
      <c r="C4" s="8">
        <v>1090565</v>
      </c>
      <c r="D4" s="3">
        <v>31.207000000000011</v>
      </c>
      <c r="E4">
        <v>829262</v>
      </c>
      <c r="F4" s="13">
        <f>A4/E4</f>
        <v>17.41858706898423</v>
      </c>
    </row>
    <row r="6" spans="1:6" x14ac:dyDescent="0.25">
      <c r="A6" s="2">
        <f>A4</f>
        <v>14444572.35</v>
      </c>
      <c r="B6" s="2">
        <f t="shared" ref="B6:D6" si="0">B4</f>
        <v>4014029</v>
      </c>
      <c r="C6" s="9">
        <f t="shared" si="0"/>
        <v>1090565</v>
      </c>
      <c r="D6" s="3">
        <f t="shared" si="0"/>
        <v>31.207000000000011</v>
      </c>
    </row>
    <row r="9" spans="1:6" x14ac:dyDescent="0.25">
      <c r="A9" t="s">
        <v>623</v>
      </c>
    </row>
    <row r="10" spans="1:6" x14ac:dyDescent="0.25">
      <c r="A10" s="10" t="s">
        <v>624</v>
      </c>
      <c r="B10" t="s">
        <v>618</v>
      </c>
    </row>
    <row r="11" spans="1:6" x14ac:dyDescent="0.25">
      <c r="A11" s="11" t="s">
        <v>15</v>
      </c>
      <c r="B11">
        <v>1289722.58</v>
      </c>
    </row>
    <row r="12" spans="1:6" x14ac:dyDescent="0.25">
      <c r="A12" s="11" t="s">
        <v>21</v>
      </c>
      <c r="B12">
        <v>1656113.9800000002</v>
      </c>
    </row>
    <row r="13" spans="1:6" x14ac:dyDescent="0.25">
      <c r="A13" s="11" t="s">
        <v>26</v>
      </c>
      <c r="B13">
        <v>3279139.5199999996</v>
      </c>
    </row>
    <row r="14" spans="1:6" x14ac:dyDescent="0.25">
      <c r="A14" s="11" t="s">
        <v>19</v>
      </c>
      <c r="B14">
        <v>8219596.2700000014</v>
      </c>
    </row>
    <row r="15" spans="1:6" x14ac:dyDescent="0.25">
      <c r="A15" s="11" t="s">
        <v>625</v>
      </c>
      <c r="B15">
        <v>14444572.350000001</v>
      </c>
    </row>
    <row r="21" spans="1:4" x14ac:dyDescent="0.25">
      <c r="A21" t="s">
        <v>654</v>
      </c>
    </row>
    <row r="22" spans="1:4" x14ac:dyDescent="0.25">
      <c r="A22" s="10" t="s">
        <v>624</v>
      </c>
      <c r="B22" t="s">
        <v>618</v>
      </c>
    </row>
    <row r="23" spans="1:4" x14ac:dyDescent="0.25">
      <c r="A23" s="11" t="s">
        <v>479</v>
      </c>
      <c r="B23">
        <v>372998.82</v>
      </c>
      <c r="C23" s="11" t="str">
        <f>A23</f>
        <v>Maven Toys Monterrey 2</v>
      </c>
      <c r="D23" s="11">
        <f>B23</f>
        <v>372998.82</v>
      </c>
    </row>
    <row r="24" spans="1:4" x14ac:dyDescent="0.25">
      <c r="A24" s="11" t="s">
        <v>538</v>
      </c>
      <c r="B24">
        <v>411157.32</v>
      </c>
      <c r="C24" s="11" t="str">
        <f t="shared" ref="C24:C27" si="1">A24</f>
        <v>Maven Toys Toluca 1</v>
      </c>
      <c r="D24" s="11">
        <f t="shared" ref="D24:D27" si="2">B24</f>
        <v>411157.32</v>
      </c>
    </row>
    <row r="25" spans="1:4" x14ac:dyDescent="0.25">
      <c r="A25" s="11" t="s">
        <v>540</v>
      </c>
      <c r="B25">
        <v>433556.21</v>
      </c>
      <c r="C25" s="11" t="str">
        <f t="shared" si="1"/>
        <v>Maven Toys Ciudad de Mexico 1</v>
      </c>
      <c r="D25" s="11">
        <f t="shared" si="2"/>
        <v>433556.21</v>
      </c>
    </row>
    <row r="26" spans="1:4" x14ac:dyDescent="0.25">
      <c r="A26" s="11" t="s">
        <v>543</v>
      </c>
      <c r="B26">
        <v>449354.91</v>
      </c>
      <c r="C26" s="11" t="str">
        <f t="shared" si="1"/>
        <v>Maven Toys Guadalajara 3</v>
      </c>
      <c r="D26" s="11">
        <f t="shared" si="2"/>
        <v>449354.91</v>
      </c>
    </row>
    <row r="27" spans="1:4" x14ac:dyDescent="0.25">
      <c r="A27" s="11" t="s">
        <v>542</v>
      </c>
      <c r="B27">
        <v>554553.43000000005</v>
      </c>
      <c r="C27" s="11" t="str">
        <f t="shared" si="1"/>
        <v>Maven Toys Ciudad de Mexico 2</v>
      </c>
      <c r="D27" s="11">
        <f t="shared" si="2"/>
        <v>554553.43000000005</v>
      </c>
    </row>
    <row r="28" spans="1:4" x14ac:dyDescent="0.25">
      <c r="A28" s="11" t="s">
        <v>625</v>
      </c>
      <c r="B28">
        <v>2221620.69</v>
      </c>
      <c r="C28" s="11"/>
      <c r="D28" s="11"/>
    </row>
    <row r="29" spans="1:4" x14ac:dyDescent="0.25">
      <c r="C29" s="11"/>
      <c r="D29" s="11"/>
    </row>
    <row r="30" spans="1:4" x14ac:dyDescent="0.25">
      <c r="C30" s="11"/>
      <c r="D30" s="11"/>
    </row>
    <row r="31" spans="1:4" x14ac:dyDescent="0.25">
      <c r="C31" s="11"/>
      <c r="D31" s="11"/>
    </row>
    <row r="32" spans="1:4" x14ac:dyDescent="0.25">
      <c r="A32" t="s">
        <v>626</v>
      </c>
      <c r="C32" s="11"/>
      <c r="D32" s="11"/>
    </row>
    <row r="33" spans="1:2" x14ac:dyDescent="0.25">
      <c r="A33" s="10" t="s">
        <v>624</v>
      </c>
      <c r="B33" t="s">
        <v>618</v>
      </c>
    </row>
    <row r="34" spans="1:2" x14ac:dyDescent="0.25">
      <c r="A34" s="11" t="s">
        <v>25</v>
      </c>
      <c r="B34" s="12">
        <v>0.18729279029157278</v>
      </c>
    </row>
    <row r="35" spans="1:2" x14ac:dyDescent="0.25">
      <c r="A35" s="11" t="s">
        <v>17</v>
      </c>
      <c r="B35" s="12">
        <v>0.15554432457808282</v>
      </c>
    </row>
    <row r="36" spans="1:2" x14ac:dyDescent="0.25">
      <c r="A36" s="11" t="s">
        <v>14</v>
      </c>
      <c r="B36" s="12">
        <v>0.15416422279888406</v>
      </c>
    </row>
    <row r="37" spans="1:2" x14ac:dyDescent="0.25">
      <c r="A37" s="11" t="s">
        <v>28</v>
      </c>
      <c r="B37" s="12">
        <v>0.15039279234874683</v>
      </c>
    </row>
    <row r="38" spans="1:2" x14ac:dyDescent="0.25">
      <c r="A38" s="11" t="s">
        <v>23</v>
      </c>
      <c r="B38" s="12">
        <v>0.35260586998271359</v>
      </c>
    </row>
    <row r="39" spans="1:2" x14ac:dyDescent="0.25">
      <c r="A39" s="11" t="s">
        <v>625</v>
      </c>
      <c r="B39" s="12">
        <v>1</v>
      </c>
    </row>
    <row r="42" spans="1:2" x14ac:dyDescent="0.25">
      <c r="A42" t="s">
        <v>627</v>
      </c>
    </row>
    <row r="43" spans="1:2" x14ac:dyDescent="0.25">
      <c r="A43" s="10" t="s">
        <v>624</v>
      </c>
      <c r="B43" t="s">
        <v>619</v>
      </c>
    </row>
    <row r="44" spans="1:2" x14ac:dyDescent="0.25">
      <c r="A44" s="11" t="s">
        <v>25</v>
      </c>
      <c r="B44" s="12">
        <v>0.18768025841367864</v>
      </c>
    </row>
    <row r="45" spans="1:2" x14ac:dyDescent="0.25">
      <c r="A45" s="11" t="s">
        <v>17</v>
      </c>
      <c r="B45" s="12">
        <v>0.24948424637689465</v>
      </c>
    </row>
    <row r="46" spans="1:2" x14ac:dyDescent="0.25">
      <c r="A46" s="11" t="s">
        <v>14</v>
      </c>
      <c r="B46" s="12">
        <v>0.16790934993244941</v>
      </c>
    </row>
    <row r="47" spans="1:2" x14ac:dyDescent="0.25">
      <c r="A47" s="11" t="s">
        <v>28</v>
      </c>
      <c r="B47" s="12">
        <v>0.12598762988508552</v>
      </c>
    </row>
    <row r="48" spans="1:2" x14ac:dyDescent="0.25">
      <c r="A48" s="11" t="s">
        <v>23</v>
      </c>
      <c r="B48" s="12">
        <v>0.26893851539189179</v>
      </c>
    </row>
    <row r="49" spans="1:2" x14ac:dyDescent="0.25">
      <c r="A49" s="11" t="s">
        <v>625</v>
      </c>
      <c r="B49" s="12">
        <v>1</v>
      </c>
    </row>
    <row r="51" spans="1:2" x14ac:dyDescent="0.25">
      <c r="A51" s="11" t="s">
        <v>630</v>
      </c>
    </row>
    <row r="52" spans="1:2" x14ac:dyDescent="0.25">
      <c r="A52" s="10" t="s">
        <v>624</v>
      </c>
      <c r="B52" t="s">
        <v>620</v>
      </c>
    </row>
    <row r="53" spans="1:2" x14ac:dyDescent="0.25">
      <c r="A53" s="11" t="s">
        <v>19</v>
      </c>
      <c r="B53">
        <v>624180</v>
      </c>
    </row>
    <row r="54" spans="1:2" x14ac:dyDescent="0.25">
      <c r="A54" s="11" t="s">
        <v>26</v>
      </c>
      <c r="B54">
        <v>239103</v>
      </c>
    </row>
    <row r="55" spans="1:2" x14ac:dyDescent="0.25">
      <c r="A55" s="11" t="s">
        <v>21</v>
      </c>
      <c r="B55">
        <v>125147</v>
      </c>
    </row>
    <row r="56" spans="1:2" x14ac:dyDescent="0.25">
      <c r="A56" s="11" t="s">
        <v>15</v>
      </c>
      <c r="B56">
        <v>95461</v>
      </c>
    </row>
    <row r="57" spans="1:2" x14ac:dyDescent="0.25">
      <c r="A57" s="11" t="s">
        <v>625</v>
      </c>
      <c r="B57">
        <v>1083891</v>
      </c>
    </row>
    <row r="61" spans="1:2" x14ac:dyDescent="0.25">
      <c r="A61" t="s">
        <v>631</v>
      </c>
    </row>
    <row r="62" spans="1:2" x14ac:dyDescent="0.25">
      <c r="A62" s="10" t="s">
        <v>624</v>
      </c>
      <c r="B62" t="s">
        <v>618</v>
      </c>
    </row>
    <row r="63" spans="1:2" x14ac:dyDescent="0.25">
      <c r="A63" s="11" t="s">
        <v>530</v>
      </c>
      <c r="B63">
        <v>912983.28</v>
      </c>
    </row>
    <row r="64" spans="1:2" x14ac:dyDescent="0.25">
      <c r="A64" s="11" t="s">
        <v>466</v>
      </c>
      <c r="B64">
        <v>926748.42</v>
      </c>
    </row>
    <row r="65" spans="1:2" x14ac:dyDescent="0.25">
      <c r="A65" s="11" t="s">
        <v>522</v>
      </c>
      <c r="B65">
        <v>968962.02</v>
      </c>
    </row>
    <row r="66" spans="1:2" x14ac:dyDescent="0.25">
      <c r="A66" s="11" t="s">
        <v>527</v>
      </c>
      <c r="B66">
        <v>1564476.32</v>
      </c>
    </row>
    <row r="67" spans="1:2" x14ac:dyDescent="0.25">
      <c r="A67" s="11" t="s">
        <v>532</v>
      </c>
      <c r="B67">
        <v>2388882.63</v>
      </c>
    </row>
    <row r="68" spans="1:2" x14ac:dyDescent="0.25">
      <c r="A68" s="11" t="s">
        <v>625</v>
      </c>
      <c r="B68">
        <v>6762052.6700000009</v>
      </c>
    </row>
    <row r="71" spans="1:2" x14ac:dyDescent="0.25">
      <c r="A71" s="11" t="s">
        <v>632</v>
      </c>
    </row>
    <row r="72" spans="1:2" x14ac:dyDescent="0.25">
      <c r="A72" s="10" t="s">
        <v>624</v>
      </c>
      <c r="B72" t="s">
        <v>618</v>
      </c>
    </row>
    <row r="73" spans="1:2" x14ac:dyDescent="0.25">
      <c r="A73" s="11" t="s">
        <v>634</v>
      </c>
      <c r="B73" s="14">
        <v>1289751.1300000001</v>
      </c>
    </row>
    <row r="74" spans="1:2" x14ac:dyDescent="0.25">
      <c r="A74" s="11" t="s">
        <v>635</v>
      </c>
      <c r="B74" s="14">
        <v>1263983.8400000003</v>
      </c>
    </row>
    <row r="75" spans="1:2" x14ac:dyDescent="0.25">
      <c r="A75" s="11" t="s">
        <v>636</v>
      </c>
      <c r="B75" s="14">
        <v>1473000.83</v>
      </c>
    </row>
    <row r="76" spans="1:2" x14ac:dyDescent="0.25">
      <c r="A76" s="11" t="s">
        <v>637</v>
      </c>
      <c r="B76" s="14">
        <v>1508764.0499999996</v>
      </c>
    </row>
    <row r="77" spans="1:2" x14ac:dyDescent="0.25">
      <c r="A77" s="11" t="s">
        <v>105</v>
      </c>
      <c r="B77" s="14">
        <v>1497689.39</v>
      </c>
    </row>
    <row r="78" spans="1:2" x14ac:dyDescent="0.25">
      <c r="A78" s="11" t="s">
        <v>638</v>
      </c>
      <c r="B78" s="14">
        <v>1470279.4700000004</v>
      </c>
    </row>
    <row r="79" spans="1:2" x14ac:dyDescent="0.25">
      <c r="A79" s="11" t="s">
        <v>639</v>
      </c>
      <c r="B79" s="14">
        <v>1384383.09</v>
      </c>
    </row>
    <row r="80" spans="1:2" x14ac:dyDescent="0.25">
      <c r="A80" s="11" t="s">
        <v>640</v>
      </c>
      <c r="B80" s="14">
        <v>1150299.8000000003</v>
      </c>
    </row>
    <row r="81" spans="1:2" x14ac:dyDescent="0.25">
      <c r="A81" s="11" t="s">
        <v>641</v>
      </c>
      <c r="B81" s="14">
        <v>1244038.5200000003</v>
      </c>
    </row>
    <row r="82" spans="1:2" x14ac:dyDescent="0.25">
      <c r="A82" s="11" t="s">
        <v>642</v>
      </c>
      <c r="B82" s="14">
        <v>623874.39000000013</v>
      </c>
    </row>
    <row r="83" spans="1:2" x14ac:dyDescent="0.25">
      <c r="A83" s="11" t="s">
        <v>643</v>
      </c>
      <c r="B83" s="14">
        <v>661304.15</v>
      </c>
    </row>
    <row r="84" spans="1:2" x14ac:dyDescent="0.25">
      <c r="A84" s="11" t="s">
        <v>644</v>
      </c>
      <c r="B84" s="14">
        <v>877203.68999999983</v>
      </c>
    </row>
    <row r="85" spans="1:2" x14ac:dyDescent="0.25">
      <c r="A85" s="11" t="s">
        <v>625</v>
      </c>
      <c r="B85" s="14">
        <v>14444572.350000001</v>
      </c>
    </row>
    <row r="87" spans="1:2" x14ac:dyDescent="0.25">
      <c r="A87" s="11" t="s">
        <v>645</v>
      </c>
    </row>
    <row r="88" spans="1:2" x14ac:dyDescent="0.25">
      <c r="A88" s="10" t="s">
        <v>624</v>
      </c>
      <c r="B88" t="s">
        <v>618</v>
      </c>
    </row>
    <row r="89" spans="1:2" x14ac:dyDescent="0.25">
      <c r="A89" s="11" t="s">
        <v>647</v>
      </c>
      <c r="B89" s="14">
        <v>1749744</v>
      </c>
    </row>
    <row r="90" spans="1:2" x14ac:dyDescent="0.25">
      <c r="A90" s="11" t="s">
        <v>648</v>
      </c>
      <c r="B90" s="14">
        <v>1531130.01</v>
      </c>
    </row>
    <row r="91" spans="1:2" x14ac:dyDescent="0.25">
      <c r="A91" s="11" t="s">
        <v>649</v>
      </c>
      <c r="B91" s="14">
        <v>1637492.19</v>
      </c>
    </row>
    <row r="92" spans="1:2" x14ac:dyDescent="0.25">
      <c r="A92" s="11" t="s">
        <v>650</v>
      </c>
      <c r="B92" s="14">
        <v>1732068.5899999999</v>
      </c>
    </row>
    <row r="93" spans="1:2" x14ac:dyDescent="0.25">
      <c r="A93" s="11" t="s">
        <v>651</v>
      </c>
      <c r="B93" s="14">
        <v>2183641.79</v>
      </c>
    </row>
    <row r="94" spans="1:2" x14ac:dyDescent="0.25">
      <c r="A94" s="11" t="s">
        <v>652</v>
      </c>
      <c r="B94" s="14">
        <v>2750302.26</v>
      </c>
    </row>
    <row r="95" spans="1:2" x14ac:dyDescent="0.25">
      <c r="A95" s="11" t="s">
        <v>653</v>
      </c>
      <c r="B95" s="14">
        <v>2860193.51</v>
      </c>
    </row>
    <row r="96" spans="1:2" x14ac:dyDescent="0.25">
      <c r="A96" s="11" t="s">
        <v>625</v>
      </c>
      <c r="B96" s="14">
        <v>14444572.349999998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8EDE6-3AA0-494D-A8ED-F6890A892E04}">
  <dimension ref="A1:AG60"/>
  <sheetViews>
    <sheetView showGridLines="0" tabSelected="1" zoomScale="85" zoomScaleNormal="85" workbookViewId="0">
      <selection activeCell="V10" sqref="V10"/>
    </sheetView>
  </sheetViews>
  <sheetFormatPr defaultRowHeight="15" x14ac:dyDescent="0.25"/>
  <sheetData>
    <row r="1" spans="1:33" ht="15" customHeight="1" x14ac:dyDescent="0.45">
      <c r="A1" s="15"/>
      <c r="B1" s="15"/>
      <c r="C1" s="18" t="s">
        <v>622</v>
      </c>
      <c r="D1" s="18"/>
      <c r="E1" s="18"/>
      <c r="F1" s="18"/>
      <c r="G1" s="18"/>
      <c r="H1" s="18"/>
      <c r="I1" s="18"/>
      <c r="J1" s="18"/>
      <c r="K1" s="18"/>
      <c r="L1" s="18"/>
      <c r="M1" s="18"/>
      <c r="N1" s="18"/>
      <c r="O1" s="18"/>
      <c r="P1" s="18"/>
      <c r="Q1" s="18"/>
      <c r="R1" s="18"/>
      <c r="S1" s="18"/>
      <c r="T1" s="19"/>
      <c r="U1" s="16"/>
      <c r="V1" s="16"/>
      <c r="W1" s="7"/>
      <c r="X1" s="7"/>
      <c r="Y1" s="7"/>
      <c r="Z1" s="7"/>
      <c r="AA1" s="7"/>
      <c r="AB1" s="7"/>
      <c r="AC1" s="7"/>
      <c r="AD1" s="7"/>
      <c r="AE1" s="7"/>
      <c r="AF1" s="7"/>
      <c r="AG1" s="7"/>
    </row>
    <row r="2" spans="1:33" ht="15" customHeight="1" thickBot="1" x14ac:dyDescent="0.5">
      <c r="A2" s="15"/>
      <c r="B2" s="15"/>
      <c r="C2" s="17"/>
      <c r="D2" s="17"/>
      <c r="E2" s="17"/>
      <c r="F2" s="17"/>
      <c r="G2" s="17"/>
      <c r="H2" s="17"/>
      <c r="I2" s="17"/>
      <c r="J2" s="17"/>
      <c r="K2" s="17"/>
      <c r="L2" s="17"/>
      <c r="M2" s="17"/>
      <c r="N2" s="17"/>
      <c r="O2" s="17"/>
      <c r="P2" s="17"/>
      <c r="Q2" s="17"/>
      <c r="R2" s="17"/>
      <c r="S2" s="17"/>
      <c r="T2" s="19"/>
      <c r="U2" s="16"/>
      <c r="V2" s="16"/>
      <c r="W2" s="7"/>
      <c r="X2" s="7"/>
      <c r="Y2" s="7"/>
      <c r="Z2" s="7"/>
      <c r="AA2" s="7"/>
      <c r="AB2" s="7"/>
      <c r="AC2" s="7"/>
      <c r="AD2" s="7"/>
      <c r="AE2" s="7"/>
      <c r="AF2" s="7"/>
      <c r="AG2" s="7"/>
    </row>
    <row r="3" spans="1:33" x14ac:dyDescent="0.25">
      <c r="A3" s="6"/>
      <c r="B3" s="6"/>
      <c r="C3" s="6"/>
      <c r="D3" s="6"/>
      <c r="E3" s="6"/>
      <c r="F3" s="6"/>
      <c r="G3" s="6"/>
      <c r="H3" s="6"/>
      <c r="I3" s="6"/>
      <c r="J3" s="6"/>
      <c r="K3" s="6"/>
      <c r="L3" s="6"/>
      <c r="M3" s="6"/>
      <c r="N3" s="6"/>
      <c r="O3" s="6"/>
      <c r="P3" s="6"/>
      <c r="Q3" s="6"/>
      <c r="R3" s="6"/>
      <c r="S3" s="6"/>
      <c r="T3" s="6"/>
      <c r="U3" s="7"/>
      <c r="V3" s="7"/>
      <c r="W3" s="7"/>
      <c r="X3" s="7"/>
      <c r="Y3" s="7"/>
      <c r="Z3" s="7"/>
      <c r="AA3" s="7"/>
      <c r="AB3" s="7"/>
      <c r="AC3" s="7"/>
      <c r="AD3" s="7"/>
      <c r="AE3" s="7"/>
      <c r="AF3" s="7"/>
      <c r="AG3" s="7"/>
    </row>
    <row r="4" spans="1:33" x14ac:dyDescent="0.25">
      <c r="A4" s="6"/>
      <c r="B4" s="6"/>
      <c r="C4" s="6"/>
      <c r="D4" s="6"/>
      <c r="E4" s="6"/>
      <c r="F4" s="6"/>
      <c r="G4" s="6"/>
      <c r="H4" s="6"/>
      <c r="I4" s="6"/>
      <c r="J4" s="6"/>
      <c r="K4" s="6"/>
      <c r="L4" s="6"/>
      <c r="M4" s="6"/>
      <c r="N4" s="6"/>
      <c r="O4" s="6"/>
      <c r="P4" s="6"/>
      <c r="Q4" s="6"/>
      <c r="R4" s="6"/>
      <c r="S4" s="6"/>
      <c r="T4" s="6"/>
      <c r="U4" s="7"/>
      <c r="V4" s="7"/>
      <c r="W4" s="7"/>
      <c r="X4" s="7"/>
      <c r="Y4" s="7"/>
      <c r="Z4" s="7"/>
      <c r="AA4" s="7"/>
      <c r="AB4" s="7"/>
      <c r="AC4" s="7"/>
      <c r="AD4" s="7"/>
      <c r="AE4" s="7"/>
      <c r="AF4" s="7"/>
      <c r="AG4" s="7"/>
    </row>
    <row r="5" spans="1:33" x14ac:dyDescent="0.25">
      <c r="A5" s="6"/>
      <c r="B5" s="6"/>
      <c r="C5" s="6"/>
      <c r="D5" s="6"/>
      <c r="E5" s="6"/>
      <c r="F5" s="6"/>
      <c r="G5" s="6"/>
      <c r="H5" s="6"/>
      <c r="I5" s="6"/>
      <c r="J5" s="6"/>
      <c r="K5" s="6"/>
      <c r="L5" s="6"/>
      <c r="M5" s="6"/>
      <c r="N5" s="6"/>
      <c r="O5" s="6"/>
      <c r="P5" s="6"/>
      <c r="Q5" s="6"/>
      <c r="R5" s="6"/>
      <c r="S5" s="6"/>
      <c r="T5" s="6"/>
      <c r="U5" s="7"/>
      <c r="V5" s="7"/>
      <c r="W5" s="7"/>
      <c r="X5" s="7"/>
      <c r="Y5" s="7"/>
      <c r="Z5" s="7"/>
      <c r="AA5" s="7"/>
      <c r="AB5" s="7"/>
      <c r="AC5" s="7"/>
      <c r="AD5" s="7"/>
      <c r="AE5" s="7"/>
      <c r="AF5" s="7"/>
      <c r="AG5" s="7"/>
    </row>
    <row r="6" spans="1:33" x14ac:dyDescent="0.25">
      <c r="A6" s="6"/>
      <c r="B6" s="6"/>
      <c r="C6" s="6"/>
      <c r="D6" s="6"/>
      <c r="E6" s="6"/>
      <c r="F6" s="6"/>
      <c r="G6" s="6"/>
      <c r="H6" s="6"/>
      <c r="I6" s="6"/>
      <c r="J6" s="6"/>
      <c r="K6" s="6"/>
      <c r="L6" s="6"/>
      <c r="M6" s="6"/>
      <c r="N6" s="6"/>
      <c r="O6" s="6"/>
      <c r="P6" s="6"/>
      <c r="Q6" s="6"/>
      <c r="R6" s="6"/>
      <c r="S6" s="6"/>
      <c r="T6" s="6"/>
      <c r="U6" s="7"/>
      <c r="V6" s="7"/>
      <c r="W6" s="7"/>
      <c r="X6" s="7"/>
      <c r="Y6" s="7"/>
      <c r="Z6" s="7"/>
      <c r="AA6" s="7"/>
      <c r="AB6" s="7"/>
      <c r="AC6" s="7"/>
      <c r="AD6" s="7"/>
      <c r="AE6" s="7"/>
      <c r="AF6" s="7"/>
      <c r="AG6" s="7"/>
    </row>
    <row r="7" spans="1:33" x14ac:dyDescent="0.25">
      <c r="A7" s="6"/>
      <c r="B7" s="6"/>
      <c r="C7" s="6"/>
      <c r="D7" s="6"/>
      <c r="E7" s="6"/>
      <c r="F7" s="6"/>
      <c r="G7" s="6"/>
      <c r="H7" s="6"/>
      <c r="I7" s="6"/>
      <c r="J7" s="6"/>
      <c r="K7" s="6"/>
      <c r="L7" s="6"/>
      <c r="M7" s="6"/>
      <c r="N7" s="6"/>
      <c r="O7" s="6"/>
      <c r="P7" s="6"/>
      <c r="Q7" s="6"/>
      <c r="R7" s="6"/>
      <c r="S7" s="6"/>
      <c r="T7" s="6"/>
      <c r="U7" s="7"/>
      <c r="V7" s="7"/>
      <c r="W7" s="7"/>
      <c r="X7" s="7"/>
      <c r="Y7" s="7"/>
      <c r="Z7" s="7"/>
      <c r="AA7" s="7"/>
      <c r="AB7" s="7"/>
      <c r="AC7" s="7"/>
      <c r="AD7" s="7"/>
      <c r="AE7" s="7"/>
      <c r="AF7" s="7"/>
      <c r="AG7" s="7"/>
    </row>
    <row r="8" spans="1:33" x14ac:dyDescent="0.25">
      <c r="A8" s="6"/>
      <c r="B8" s="6"/>
      <c r="C8" s="6"/>
      <c r="D8" s="6"/>
      <c r="E8" s="6"/>
      <c r="F8" s="6"/>
      <c r="G8" s="6"/>
      <c r="H8" s="6"/>
      <c r="I8" s="6"/>
      <c r="J8" s="6"/>
      <c r="K8" s="6"/>
      <c r="L8" s="6"/>
      <c r="M8" s="6"/>
      <c r="N8" s="6"/>
      <c r="O8" s="6"/>
      <c r="P8" s="6"/>
      <c r="Q8" s="6"/>
      <c r="R8" s="6"/>
      <c r="S8" s="6"/>
      <c r="T8" s="6"/>
      <c r="U8" s="7"/>
      <c r="V8" s="7"/>
      <c r="W8" s="7"/>
      <c r="X8" s="7"/>
      <c r="Y8" s="7"/>
      <c r="Z8" s="7"/>
      <c r="AA8" s="7"/>
      <c r="AB8" s="7"/>
      <c r="AC8" s="7"/>
      <c r="AD8" s="7"/>
      <c r="AE8" s="7"/>
      <c r="AF8" s="7"/>
      <c r="AG8" s="7"/>
    </row>
    <row r="9" spans="1:33" x14ac:dyDescent="0.25">
      <c r="A9" s="6"/>
      <c r="B9" s="6"/>
      <c r="C9" s="6"/>
      <c r="D9" s="6"/>
      <c r="E9" s="6"/>
      <c r="F9" s="6"/>
      <c r="G9" s="6"/>
      <c r="H9" s="6"/>
      <c r="I9" s="6"/>
      <c r="J9" s="6"/>
      <c r="K9" s="6"/>
      <c r="L9" s="6"/>
      <c r="M9" s="6"/>
      <c r="N9" s="6"/>
      <c r="O9" s="6"/>
      <c r="P9" s="6"/>
      <c r="Q9" s="6"/>
      <c r="R9" s="6"/>
      <c r="S9" s="6"/>
      <c r="T9" s="6"/>
      <c r="U9" s="7"/>
      <c r="V9" s="7"/>
      <c r="W9" s="7"/>
      <c r="X9" s="7"/>
      <c r="Y9" s="7"/>
      <c r="Z9" s="7"/>
      <c r="AA9" s="7"/>
      <c r="AB9" s="7"/>
      <c r="AC9" s="7"/>
      <c r="AD9" s="7"/>
      <c r="AE9" s="7"/>
      <c r="AF9" s="7"/>
      <c r="AG9" s="7"/>
    </row>
    <row r="10" spans="1:33" x14ac:dyDescent="0.25">
      <c r="A10" s="6"/>
      <c r="B10" s="6"/>
      <c r="C10" s="6"/>
      <c r="D10" s="6"/>
      <c r="E10" s="6"/>
      <c r="F10" s="6"/>
      <c r="G10" s="6"/>
      <c r="H10" s="6"/>
      <c r="I10" s="6"/>
      <c r="J10" s="6"/>
      <c r="K10" s="6"/>
      <c r="L10" s="6"/>
      <c r="M10" s="6"/>
      <c r="N10" s="6"/>
      <c r="O10" s="6"/>
      <c r="P10" s="6"/>
      <c r="Q10" s="6"/>
      <c r="R10" s="6"/>
      <c r="S10" s="6"/>
      <c r="T10" s="6"/>
      <c r="U10" s="7"/>
      <c r="V10" s="7"/>
      <c r="W10" s="7"/>
      <c r="X10" s="7"/>
      <c r="Y10" s="7"/>
      <c r="Z10" s="7"/>
      <c r="AA10" s="7"/>
      <c r="AB10" s="7"/>
      <c r="AC10" s="7"/>
      <c r="AD10" s="7"/>
      <c r="AE10" s="7"/>
      <c r="AF10" s="7"/>
      <c r="AG10" s="7"/>
    </row>
    <row r="11" spans="1:33" x14ac:dyDescent="0.25">
      <c r="A11" s="6"/>
      <c r="B11" s="6"/>
      <c r="C11" s="6"/>
      <c r="D11" s="6"/>
      <c r="E11" s="6"/>
      <c r="F11" s="6"/>
      <c r="G11" s="6"/>
      <c r="H11" s="6"/>
      <c r="I11" s="6"/>
      <c r="J11" s="6"/>
      <c r="K11" s="6"/>
      <c r="L11" s="6"/>
      <c r="M11" s="6"/>
      <c r="N11" s="6"/>
      <c r="O11" s="6"/>
      <c r="P11" s="6"/>
      <c r="Q11" s="6"/>
      <c r="R11" s="6"/>
      <c r="S11" s="6"/>
      <c r="T11" s="6"/>
      <c r="U11" s="7"/>
      <c r="V11" s="7"/>
      <c r="W11" s="7"/>
      <c r="X11" s="7"/>
      <c r="Y11" s="7"/>
      <c r="Z11" s="7"/>
      <c r="AA11" s="7"/>
      <c r="AB11" s="7"/>
      <c r="AC11" s="7"/>
      <c r="AD11" s="7"/>
      <c r="AE11" s="7"/>
      <c r="AF11" s="7"/>
      <c r="AG11" s="7"/>
    </row>
    <row r="12" spans="1:33" x14ac:dyDescent="0.25">
      <c r="A12" s="6"/>
      <c r="B12" s="6"/>
      <c r="C12" s="6"/>
      <c r="D12" s="6"/>
      <c r="E12" s="6"/>
      <c r="F12" s="6"/>
      <c r="G12" s="6"/>
      <c r="H12" s="6"/>
      <c r="I12" s="6"/>
      <c r="J12" s="6"/>
      <c r="K12" s="6"/>
      <c r="L12" s="6"/>
      <c r="M12" s="6"/>
      <c r="N12" s="6"/>
      <c r="O12" s="6"/>
      <c r="P12" s="6"/>
      <c r="Q12" s="6"/>
      <c r="R12" s="6"/>
      <c r="S12" s="6"/>
      <c r="T12" s="6"/>
      <c r="U12" s="7"/>
      <c r="V12" s="7"/>
      <c r="W12" s="7"/>
      <c r="X12" s="7"/>
      <c r="Y12" s="7"/>
      <c r="Z12" s="7"/>
      <c r="AA12" s="7"/>
      <c r="AB12" s="7"/>
      <c r="AC12" s="7"/>
      <c r="AD12" s="7"/>
      <c r="AE12" s="7"/>
      <c r="AF12" s="7"/>
      <c r="AG12" s="7"/>
    </row>
    <row r="13" spans="1:33" x14ac:dyDescent="0.25">
      <c r="A13" s="6"/>
      <c r="B13" s="6"/>
      <c r="C13" s="6"/>
      <c r="D13" s="6"/>
      <c r="E13" s="6"/>
      <c r="F13" s="6"/>
      <c r="G13" s="6"/>
      <c r="H13" s="6"/>
      <c r="I13" s="6"/>
      <c r="J13" s="6"/>
      <c r="K13" s="6"/>
      <c r="L13" s="6"/>
      <c r="M13" s="6"/>
      <c r="N13" s="6"/>
      <c r="O13" s="6"/>
      <c r="P13" s="6"/>
      <c r="Q13" s="6"/>
      <c r="R13" s="6"/>
      <c r="S13" s="6"/>
      <c r="T13" s="6"/>
      <c r="U13" s="7"/>
      <c r="V13" s="7"/>
      <c r="W13" s="7"/>
      <c r="X13" s="7"/>
      <c r="Y13" s="7"/>
      <c r="Z13" s="7"/>
      <c r="AA13" s="7"/>
      <c r="AB13" s="7"/>
      <c r="AC13" s="7"/>
      <c r="AD13" s="7"/>
      <c r="AE13" s="7"/>
      <c r="AF13" s="7"/>
      <c r="AG13" s="7"/>
    </row>
    <row r="14" spans="1:33" x14ac:dyDescent="0.25">
      <c r="A14" s="6"/>
      <c r="B14" s="6"/>
      <c r="C14" s="6"/>
      <c r="D14" s="6"/>
      <c r="E14" s="6"/>
      <c r="F14" s="6"/>
      <c r="G14" s="6"/>
      <c r="H14" s="6"/>
      <c r="I14" s="6"/>
      <c r="J14" s="6"/>
      <c r="K14" s="6"/>
      <c r="L14" s="6"/>
      <c r="M14" s="6"/>
      <c r="N14" s="6"/>
      <c r="O14" s="6"/>
      <c r="P14" s="6"/>
      <c r="Q14" s="6"/>
      <c r="R14" s="6"/>
      <c r="S14" s="6"/>
      <c r="T14" s="6"/>
      <c r="U14" s="7"/>
      <c r="V14" s="7"/>
      <c r="W14" s="7"/>
      <c r="X14" s="7"/>
      <c r="Y14" s="7"/>
      <c r="Z14" s="7"/>
      <c r="AA14" s="7"/>
      <c r="AB14" s="7"/>
      <c r="AC14" s="7"/>
      <c r="AD14" s="7"/>
      <c r="AE14" s="7"/>
      <c r="AF14" s="7"/>
      <c r="AG14" s="7"/>
    </row>
    <row r="15" spans="1:33" x14ac:dyDescent="0.25">
      <c r="A15" s="6"/>
      <c r="B15" s="6"/>
      <c r="C15" s="6"/>
      <c r="D15" s="6"/>
      <c r="E15" s="6"/>
      <c r="F15" s="6"/>
      <c r="G15" s="6"/>
      <c r="H15" s="6"/>
      <c r="I15" s="6"/>
      <c r="J15" s="6"/>
      <c r="K15" s="6"/>
      <c r="L15" s="6"/>
      <c r="M15" s="6"/>
      <c r="N15" s="6"/>
      <c r="O15" s="6"/>
      <c r="P15" s="6"/>
      <c r="Q15" s="6"/>
      <c r="R15" s="6"/>
      <c r="S15" s="6"/>
      <c r="T15" s="6"/>
      <c r="U15" s="7"/>
      <c r="V15" s="7"/>
      <c r="W15" s="7"/>
      <c r="X15" s="7"/>
      <c r="Y15" s="7"/>
      <c r="Z15" s="7"/>
      <c r="AA15" s="7"/>
      <c r="AB15" s="7"/>
      <c r="AC15" s="7"/>
      <c r="AD15" s="7"/>
      <c r="AE15" s="7"/>
      <c r="AF15" s="7"/>
      <c r="AG15" s="7"/>
    </row>
    <row r="16" spans="1:33" x14ac:dyDescent="0.25">
      <c r="A16" s="6"/>
      <c r="B16" s="6"/>
      <c r="C16" s="6"/>
      <c r="D16" s="6"/>
      <c r="E16" s="6"/>
      <c r="F16" s="6"/>
      <c r="G16" s="6"/>
      <c r="H16" s="6"/>
      <c r="I16" s="6"/>
      <c r="J16" s="6"/>
      <c r="K16" s="6"/>
      <c r="L16" s="6"/>
      <c r="M16" s="6"/>
      <c r="N16" s="6"/>
      <c r="O16" s="6"/>
      <c r="P16" s="6"/>
      <c r="Q16" s="6"/>
      <c r="R16" s="6"/>
      <c r="S16" s="6"/>
      <c r="T16" s="6"/>
      <c r="U16" s="7"/>
      <c r="V16" s="7"/>
      <c r="W16" s="7"/>
      <c r="X16" s="7"/>
      <c r="Y16" s="7"/>
      <c r="Z16" s="7"/>
      <c r="AA16" s="7"/>
      <c r="AB16" s="7"/>
      <c r="AC16" s="7"/>
      <c r="AD16" s="7"/>
      <c r="AE16" s="7"/>
      <c r="AF16" s="7"/>
      <c r="AG16" s="7"/>
    </row>
    <row r="17" spans="1:33" x14ac:dyDescent="0.25">
      <c r="A17" s="6"/>
      <c r="B17" s="6"/>
      <c r="C17" s="6"/>
      <c r="D17" s="6"/>
      <c r="E17" s="6"/>
      <c r="F17" s="6"/>
      <c r="G17" s="6"/>
      <c r="H17" s="6"/>
      <c r="I17" s="6"/>
      <c r="J17" s="6"/>
      <c r="K17" s="6"/>
      <c r="L17" s="6"/>
      <c r="M17" s="6"/>
      <c r="N17" s="6"/>
      <c r="O17" s="6"/>
      <c r="P17" s="6"/>
      <c r="Q17" s="6"/>
      <c r="R17" s="6"/>
      <c r="S17" s="6"/>
      <c r="T17" s="6"/>
      <c r="U17" s="7"/>
      <c r="V17" s="7"/>
      <c r="W17" s="7"/>
      <c r="X17" s="7"/>
      <c r="Y17" s="7"/>
      <c r="Z17" s="7"/>
      <c r="AA17" s="7"/>
      <c r="AB17" s="7"/>
      <c r="AC17" s="7"/>
      <c r="AD17" s="7"/>
      <c r="AE17" s="7"/>
      <c r="AF17" s="7"/>
      <c r="AG17" s="7"/>
    </row>
    <row r="18" spans="1:33" x14ac:dyDescent="0.25">
      <c r="A18" s="6"/>
      <c r="B18" s="6"/>
      <c r="C18" s="6"/>
      <c r="D18" s="6"/>
      <c r="E18" s="6"/>
      <c r="F18" s="6"/>
      <c r="G18" s="6"/>
      <c r="H18" s="6"/>
      <c r="I18" s="6"/>
      <c r="J18" s="6"/>
      <c r="K18" s="6"/>
      <c r="L18" s="6"/>
      <c r="M18" s="6"/>
      <c r="N18" s="6"/>
      <c r="O18" s="6"/>
      <c r="P18" s="6"/>
      <c r="Q18" s="6"/>
      <c r="R18" s="6"/>
      <c r="S18" s="6"/>
      <c r="T18" s="6"/>
      <c r="U18" s="7"/>
      <c r="V18" s="7"/>
      <c r="W18" s="7"/>
      <c r="X18" s="7"/>
      <c r="Y18" s="7"/>
      <c r="Z18" s="7"/>
      <c r="AA18" s="7"/>
      <c r="AB18" s="7"/>
      <c r="AC18" s="7"/>
      <c r="AD18" s="7"/>
      <c r="AE18" s="7"/>
      <c r="AF18" s="7"/>
      <c r="AG18" s="7"/>
    </row>
    <row r="19" spans="1:33" x14ac:dyDescent="0.25">
      <c r="A19" s="6"/>
      <c r="B19" s="6"/>
      <c r="C19" s="6"/>
      <c r="D19" s="6"/>
      <c r="E19" s="6"/>
      <c r="F19" s="6"/>
      <c r="G19" s="6"/>
      <c r="H19" s="6"/>
      <c r="I19" s="6"/>
      <c r="J19" s="6"/>
      <c r="K19" s="6"/>
      <c r="L19" s="6"/>
      <c r="M19" s="6"/>
      <c r="N19" s="6"/>
      <c r="O19" s="6"/>
      <c r="P19" s="6"/>
      <c r="Q19" s="6"/>
      <c r="R19" s="6"/>
      <c r="S19" s="6"/>
      <c r="T19" s="6"/>
      <c r="U19" s="7"/>
      <c r="V19" s="7"/>
      <c r="W19" s="7"/>
      <c r="X19" s="7"/>
      <c r="Y19" s="7"/>
      <c r="Z19" s="7"/>
      <c r="AA19" s="7"/>
      <c r="AB19" s="7"/>
      <c r="AC19" s="7"/>
      <c r="AD19" s="7"/>
      <c r="AE19" s="7"/>
      <c r="AF19" s="7"/>
      <c r="AG19" s="7"/>
    </row>
    <row r="20" spans="1:33" x14ac:dyDescent="0.25">
      <c r="A20" s="6"/>
      <c r="B20" s="6"/>
      <c r="C20" s="6"/>
      <c r="D20" s="6"/>
      <c r="E20" s="6"/>
      <c r="F20" s="6"/>
      <c r="G20" s="6"/>
      <c r="H20" s="6"/>
      <c r="I20" s="6"/>
      <c r="J20" s="6"/>
      <c r="K20" s="6"/>
      <c r="L20" s="6"/>
      <c r="M20" s="6"/>
      <c r="N20" s="6"/>
      <c r="O20" s="6"/>
      <c r="P20" s="6"/>
      <c r="Q20" s="6"/>
      <c r="R20" s="6"/>
      <c r="S20" s="6"/>
      <c r="T20" s="6"/>
      <c r="U20" s="7"/>
      <c r="V20" s="7"/>
      <c r="W20" s="7"/>
      <c r="X20" s="7"/>
      <c r="Y20" s="7"/>
      <c r="Z20" s="7"/>
      <c r="AA20" s="7"/>
      <c r="AB20" s="7"/>
      <c r="AC20" s="7"/>
      <c r="AD20" s="7"/>
      <c r="AE20" s="7"/>
      <c r="AF20" s="7"/>
      <c r="AG20" s="7"/>
    </row>
    <row r="21" spans="1:33" x14ac:dyDescent="0.25">
      <c r="A21" s="6"/>
      <c r="B21" s="6"/>
      <c r="C21" s="6"/>
      <c r="D21" s="6"/>
      <c r="E21" s="6"/>
      <c r="F21" s="6"/>
      <c r="G21" s="6"/>
      <c r="H21" s="6"/>
      <c r="I21" s="6"/>
      <c r="J21" s="6"/>
      <c r="K21" s="6"/>
      <c r="L21" s="6"/>
      <c r="M21" s="6"/>
      <c r="N21" s="6"/>
      <c r="O21" s="6"/>
      <c r="P21" s="6"/>
      <c r="Q21" s="6"/>
      <c r="R21" s="6"/>
      <c r="S21" s="6"/>
      <c r="T21" s="6"/>
      <c r="U21" s="7"/>
      <c r="V21" s="7"/>
      <c r="W21" s="7"/>
      <c r="X21" s="7"/>
      <c r="Y21" s="7"/>
      <c r="Z21" s="7"/>
      <c r="AA21" s="7"/>
      <c r="AB21" s="7"/>
      <c r="AC21" s="7"/>
      <c r="AD21" s="7"/>
      <c r="AE21" s="7"/>
      <c r="AF21" s="7"/>
      <c r="AG21" s="7"/>
    </row>
    <row r="22" spans="1:33" x14ac:dyDescent="0.25">
      <c r="A22" s="6"/>
      <c r="B22" s="6"/>
      <c r="C22" s="6"/>
      <c r="D22" s="6"/>
      <c r="E22" s="6"/>
      <c r="F22" s="6"/>
      <c r="G22" s="6"/>
      <c r="H22" s="6"/>
      <c r="I22" s="6"/>
      <c r="J22" s="6"/>
      <c r="K22" s="6"/>
      <c r="L22" s="6"/>
      <c r="M22" s="6"/>
      <c r="N22" s="6"/>
      <c r="O22" s="6"/>
      <c r="P22" s="6"/>
      <c r="Q22" s="6"/>
      <c r="R22" s="6"/>
      <c r="S22" s="6"/>
      <c r="T22" s="6"/>
      <c r="U22" s="7"/>
      <c r="V22" s="7"/>
      <c r="W22" s="7"/>
      <c r="X22" s="7"/>
      <c r="Y22" s="7"/>
      <c r="Z22" s="7"/>
      <c r="AA22" s="7"/>
      <c r="AB22" s="7"/>
      <c r="AC22" s="7"/>
      <c r="AD22" s="7"/>
      <c r="AE22" s="7"/>
      <c r="AF22" s="7"/>
      <c r="AG22" s="7"/>
    </row>
    <row r="23" spans="1:33" x14ac:dyDescent="0.25">
      <c r="A23" s="6"/>
      <c r="B23" s="6"/>
      <c r="C23" s="6"/>
      <c r="D23" s="6"/>
      <c r="E23" s="6"/>
      <c r="F23" s="6"/>
      <c r="G23" s="6"/>
      <c r="H23" s="6"/>
      <c r="I23" s="6"/>
      <c r="J23" s="6"/>
      <c r="K23" s="6"/>
      <c r="L23" s="6"/>
      <c r="M23" s="6"/>
      <c r="N23" s="6"/>
      <c r="O23" s="6"/>
      <c r="P23" s="6"/>
      <c r="Q23" s="6"/>
      <c r="R23" s="6"/>
      <c r="S23" s="6"/>
      <c r="T23" s="6"/>
      <c r="U23" s="7"/>
      <c r="V23" s="7"/>
      <c r="W23" s="7"/>
      <c r="X23" s="7"/>
      <c r="Y23" s="7"/>
      <c r="Z23" s="7"/>
      <c r="AA23" s="7"/>
      <c r="AB23" s="7"/>
      <c r="AC23" s="7"/>
      <c r="AD23" s="7"/>
      <c r="AE23" s="7"/>
      <c r="AF23" s="7"/>
      <c r="AG23" s="7"/>
    </row>
    <row r="24" spans="1:33" x14ac:dyDescent="0.25">
      <c r="A24" s="6"/>
      <c r="B24" s="6"/>
      <c r="C24" s="6"/>
      <c r="D24" s="6"/>
      <c r="E24" s="6"/>
      <c r="F24" s="6"/>
      <c r="G24" s="6"/>
      <c r="H24" s="6"/>
      <c r="I24" s="6"/>
      <c r="J24" s="6"/>
      <c r="K24" s="6"/>
      <c r="L24" s="6"/>
      <c r="M24" s="6"/>
      <c r="N24" s="6"/>
      <c r="O24" s="6"/>
      <c r="P24" s="6"/>
      <c r="Q24" s="6"/>
      <c r="R24" s="6"/>
      <c r="S24" s="6"/>
      <c r="T24" s="6"/>
      <c r="U24" s="7"/>
      <c r="V24" s="7"/>
      <c r="W24" s="7"/>
      <c r="X24" s="7"/>
      <c r="Y24" s="7"/>
      <c r="Z24" s="7"/>
      <c r="AA24" s="7"/>
      <c r="AB24" s="7"/>
      <c r="AC24" s="7"/>
      <c r="AD24" s="7"/>
      <c r="AE24" s="7"/>
      <c r="AF24" s="7"/>
      <c r="AG24" s="7"/>
    </row>
    <row r="25" spans="1:33" x14ac:dyDescent="0.25">
      <c r="A25" s="6"/>
      <c r="B25" s="6"/>
      <c r="C25" s="6"/>
      <c r="D25" s="6"/>
      <c r="E25" s="6"/>
      <c r="F25" s="6"/>
      <c r="G25" s="6"/>
      <c r="H25" s="6"/>
      <c r="I25" s="6"/>
      <c r="J25" s="6"/>
      <c r="K25" s="6"/>
      <c r="L25" s="6"/>
      <c r="M25" s="6"/>
      <c r="N25" s="6"/>
      <c r="O25" s="6"/>
      <c r="P25" s="6"/>
      <c r="Q25" s="6"/>
      <c r="R25" s="6"/>
      <c r="S25" s="6"/>
      <c r="T25" s="6"/>
      <c r="U25" s="7"/>
      <c r="V25" s="7"/>
      <c r="W25" s="7"/>
      <c r="X25" s="7"/>
      <c r="Y25" s="7"/>
      <c r="Z25" s="7"/>
      <c r="AA25" s="7"/>
      <c r="AB25" s="7"/>
      <c r="AC25" s="7"/>
      <c r="AD25" s="7"/>
      <c r="AE25" s="7"/>
      <c r="AF25" s="7"/>
      <c r="AG25" s="7"/>
    </row>
    <row r="26" spans="1:33" x14ac:dyDescent="0.25">
      <c r="A26" s="6"/>
      <c r="B26" s="6"/>
      <c r="C26" s="6"/>
      <c r="D26" s="6"/>
      <c r="E26" s="6"/>
      <c r="F26" s="6"/>
      <c r="G26" s="6"/>
      <c r="H26" s="6"/>
      <c r="I26" s="6"/>
      <c r="J26" s="6"/>
      <c r="K26" s="6"/>
      <c r="L26" s="6"/>
      <c r="M26" s="6"/>
      <c r="N26" s="6"/>
      <c r="O26" s="6"/>
      <c r="P26" s="6"/>
      <c r="Q26" s="6"/>
      <c r="R26" s="6"/>
      <c r="S26" s="6"/>
      <c r="T26" s="6"/>
      <c r="U26" s="7"/>
      <c r="V26" s="7"/>
      <c r="W26" s="7"/>
      <c r="X26" s="7"/>
      <c r="Y26" s="7"/>
      <c r="Z26" s="7"/>
      <c r="AA26" s="7"/>
      <c r="AB26" s="7"/>
      <c r="AC26" s="7"/>
      <c r="AD26" s="7"/>
      <c r="AE26" s="7"/>
      <c r="AF26" s="7"/>
      <c r="AG26" s="7"/>
    </row>
    <row r="27" spans="1:33" x14ac:dyDescent="0.25">
      <c r="A27" s="6"/>
      <c r="B27" s="6"/>
      <c r="C27" s="6"/>
      <c r="D27" s="6"/>
      <c r="E27" s="6"/>
      <c r="F27" s="6"/>
      <c r="G27" s="6"/>
      <c r="H27" s="6"/>
      <c r="I27" s="6"/>
      <c r="J27" s="6"/>
      <c r="K27" s="6"/>
      <c r="L27" s="6"/>
      <c r="M27" s="6"/>
      <c r="N27" s="6"/>
      <c r="O27" s="6"/>
      <c r="P27" s="6"/>
      <c r="Q27" s="6"/>
      <c r="R27" s="6"/>
      <c r="S27" s="6"/>
      <c r="T27" s="6"/>
      <c r="U27" s="7"/>
      <c r="V27" s="7"/>
      <c r="W27" s="7"/>
      <c r="X27" s="7"/>
      <c r="Y27" s="7"/>
      <c r="Z27" s="7"/>
      <c r="AA27" s="7"/>
      <c r="AB27" s="7"/>
      <c r="AC27" s="7"/>
      <c r="AD27" s="7"/>
      <c r="AE27" s="7"/>
      <c r="AF27" s="7"/>
      <c r="AG27" s="7"/>
    </row>
    <row r="28" spans="1:33" x14ac:dyDescent="0.25">
      <c r="A28" s="6"/>
      <c r="B28" s="6"/>
      <c r="C28" s="6"/>
      <c r="D28" s="6"/>
      <c r="E28" s="6"/>
      <c r="F28" s="6"/>
      <c r="G28" s="6"/>
      <c r="H28" s="6"/>
      <c r="I28" s="6"/>
      <c r="J28" s="6"/>
      <c r="K28" s="6"/>
      <c r="L28" s="6"/>
      <c r="M28" s="6"/>
      <c r="N28" s="6"/>
      <c r="O28" s="6"/>
      <c r="P28" s="6"/>
      <c r="Q28" s="6"/>
      <c r="R28" s="6"/>
      <c r="S28" s="6"/>
      <c r="T28" s="6"/>
      <c r="U28" s="7"/>
      <c r="V28" s="7"/>
      <c r="W28" s="7"/>
      <c r="X28" s="7"/>
      <c r="Y28" s="7"/>
      <c r="Z28" s="7"/>
      <c r="AA28" s="7"/>
      <c r="AB28" s="7"/>
      <c r="AC28" s="7"/>
      <c r="AD28" s="7"/>
      <c r="AE28" s="7"/>
      <c r="AF28" s="7"/>
      <c r="AG28" s="7"/>
    </row>
    <row r="29" spans="1:33" x14ac:dyDescent="0.25">
      <c r="A29" s="6"/>
      <c r="B29" s="6"/>
      <c r="C29" s="6"/>
      <c r="D29" s="6"/>
      <c r="E29" s="6"/>
      <c r="F29" s="6"/>
      <c r="G29" s="6"/>
      <c r="H29" s="6"/>
      <c r="I29" s="6"/>
      <c r="J29" s="6"/>
      <c r="K29" s="6"/>
      <c r="L29" s="6"/>
      <c r="M29" s="6"/>
      <c r="N29" s="6"/>
      <c r="O29" s="6"/>
      <c r="P29" s="6"/>
      <c r="Q29" s="6"/>
      <c r="R29" s="6"/>
      <c r="S29" s="6"/>
      <c r="T29" s="6"/>
      <c r="U29" s="7"/>
      <c r="V29" s="7"/>
      <c r="W29" s="7"/>
      <c r="X29" s="7"/>
      <c r="Y29" s="7"/>
      <c r="Z29" s="7"/>
      <c r="AA29" s="7"/>
      <c r="AB29" s="7"/>
      <c r="AC29" s="7"/>
      <c r="AD29" s="7"/>
      <c r="AE29" s="7"/>
      <c r="AF29" s="7"/>
      <c r="AG29" s="7"/>
    </row>
    <row r="30" spans="1:33" x14ac:dyDescent="0.25">
      <c r="A30" s="6"/>
      <c r="B30" s="6"/>
      <c r="C30" s="6"/>
      <c r="D30" s="6"/>
      <c r="E30" s="6"/>
      <c r="F30" s="6"/>
      <c r="G30" s="6"/>
      <c r="H30" s="6"/>
      <c r="I30" s="6"/>
      <c r="J30" s="6"/>
      <c r="K30" s="6"/>
      <c r="L30" s="6"/>
      <c r="M30" s="6"/>
      <c r="N30" s="6"/>
      <c r="O30" s="6"/>
      <c r="P30" s="6"/>
      <c r="Q30" s="6"/>
      <c r="R30" s="6"/>
      <c r="S30" s="6"/>
      <c r="T30" s="6"/>
      <c r="U30" s="7"/>
      <c r="V30" s="7"/>
      <c r="W30" s="7"/>
      <c r="X30" s="7"/>
      <c r="Y30" s="7"/>
      <c r="Z30" s="7"/>
      <c r="AA30" s="7"/>
      <c r="AB30" s="7"/>
      <c r="AC30" s="7"/>
      <c r="AD30" s="7"/>
      <c r="AE30" s="7"/>
      <c r="AF30" s="7"/>
      <c r="AG30" s="7"/>
    </row>
    <row r="31" spans="1:33" x14ac:dyDescent="0.25">
      <c r="A31" s="6"/>
      <c r="B31" s="6"/>
      <c r="C31" s="6"/>
      <c r="D31" s="6"/>
      <c r="E31" s="6"/>
      <c r="F31" s="6"/>
      <c r="G31" s="6"/>
      <c r="H31" s="6"/>
      <c r="I31" s="6"/>
      <c r="J31" s="6"/>
      <c r="K31" s="6"/>
      <c r="L31" s="6"/>
      <c r="M31" s="6"/>
      <c r="N31" s="6"/>
      <c r="O31" s="6"/>
      <c r="P31" s="6"/>
      <c r="Q31" s="6"/>
      <c r="R31" s="6"/>
      <c r="S31" s="6"/>
      <c r="T31" s="6"/>
      <c r="U31" s="7"/>
      <c r="V31" s="7"/>
      <c r="W31" s="7"/>
      <c r="X31" s="7"/>
      <c r="Y31" s="7"/>
      <c r="Z31" s="7"/>
      <c r="AA31" s="7"/>
      <c r="AB31" s="7"/>
      <c r="AC31" s="7"/>
      <c r="AD31" s="7"/>
      <c r="AE31" s="7"/>
      <c r="AF31" s="7"/>
      <c r="AG31" s="7"/>
    </row>
    <row r="32" spans="1:33" x14ac:dyDescent="0.25">
      <c r="A32" s="6"/>
      <c r="B32" s="6"/>
      <c r="C32" s="6"/>
      <c r="D32" s="6"/>
      <c r="E32" s="6"/>
      <c r="F32" s="6"/>
      <c r="G32" s="6"/>
      <c r="H32" s="6"/>
      <c r="I32" s="6"/>
      <c r="J32" s="6"/>
      <c r="K32" s="6"/>
      <c r="L32" s="6"/>
      <c r="M32" s="6"/>
      <c r="N32" s="6"/>
      <c r="O32" s="6"/>
      <c r="P32" s="6"/>
      <c r="Q32" s="6"/>
      <c r="R32" s="6"/>
      <c r="S32" s="6"/>
      <c r="T32" s="6"/>
      <c r="U32" s="7"/>
      <c r="V32" s="7"/>
      <c r="W32" s="7"/>
      <c r="X32" s="7"/>
      <c r="Y32" s="7"/>
      <c r="Z32" s="7"/>
      <c r="AA32" s="7"/>
      <c r="AB32" s="7"/>
      <c r="AC32" s="7"/>
      <c r="AD32" s="7"/>
      <c r="AE32" s="7"/>
      <c r="AF32" s="7"/>
      <c r="AG32" s="7"/>
    </row>
    <row r="33" spans="1:33" x14ac:dyDescent="0.25">
      <c r="A33" s="6"/>
      <c r="B33" s="6"/>
      <c r="C33" s="6"/>
      <c r="D33" s="6"/>
      <c r="E33" s="6"/>
      <c r="F33" s="6"/>
      <c r="G33" s="6"/>
      <c r="H33" s="6"/>
      <c r="I33" s="6"/>
      <c r="J33" s="6"/>
      <c r="K33" s="6"/>
      <c r="L33" s="6"/>
      <c r="M33" s="6"/>
      <c r="N33" s="6"/>
      <c r="O33" s="6"/>
      <c r="P33" s="6"/>
      <c r="Q33" s="6"/>
      <c r="R33" s="6"/>
      <c r="S33" s="6"/>
      <c r="T33" s="6"/>
      <c r="U33" s="7"/>
      <c r="V33" s="7"/>
      <c r="W33" s="7"/>
      <c r="X33" s="7"/>
      <c r="Y33" s="7"/>
      <c r="Z33" s="7"/>
      <c r="AA33" s="7"/>
      <c r="AB33" s="7"/>
      <c r="AC33" s="7"/>
      <c r="AD33" s="7"/>
      <c r="AE33" s="7"/>
      <c r="AF33" s="7"/>
      <c r="AG33" s="7"/>
    </row>
    <row r="34" spans="1:33" x14ac:dyDescent="0.25">
      <c r="A34" s="6"/>
      <c r="B34" s="6"/>
      <c r="C34" s="6"/>
      <c r="D34" s="6"/>
      <c r="E34" s="6"/>
      <c r="F34" s="6"/>
      <c r="G34" s="6"/>
      <c r="H34" s="6"/>
      <c r="I34" s="6"/>
      <c r="J34" s="6"/>
      <c r="K34" s="6"/>
      <c r="L34" s="6"/>
      <c r="M34" s="6"/>
      <c r="N34" s="6"/>
      <c r="O34" s="6"/>
      <c r="P34" s="6"/>
      <c r="Q34" s="6"/>
      <c r="R34" s="6"/>
      <c r="S34" s="6"/>
      <c r="T34" s="6"/>
      <c r="U34" s="7"/>
      <c r="V34" s="7"/>
      <c r="W34" s="7"/>
      <c r="X34" s="7"/>
      <c r="Y34" s="7"/>
      <c r="Z34" s="7"/>
      <c r="AA34" s="7"/>
      <c r="AB34" s="7"/>
      <c r="AC34" s="7"/>
      <c r="AD34" s="7"/>
      <c r="AE34" s="7"/>
      <c r="AF34" s="7"/>
      <c r="AG34" s="7"/>
    </row>
    <row r="35" spans="1:33" x14ac:dyDescent="0.25">
      <c r="A35" s="6"/>
      <c r="B35" s="6"/>
      <c r="C35" s="6"/>
      <c r="D35" s="6"/>
      <c r="E35" s="6"/>
      <c r="F35" s="6"/>
      <c r="G35" s="6"/>
      <c r="H35" s="6"/>
      <c r="I35" s="6"/>
      <c r="J35" s="6"/>
      <c r="K35" s="6"/>
      <c r="L35" s="6"/>
      <c r="M35" s="6"/>
      <c r="N35" s="6"/>
      <c r="O35" s="6"/>
      <c r="P35" s="6"/>
      <c r="Q35" s="6"/>
      <c r="R35" s="6"/>
      <c r="S35" s="6"/>
      <c r="T35" s="6"/>
      <c r="U35" s="7"/>
      <c r="V35" s="7"/>
      <c r="W35" s="7"/>
      <c r="X35" s="7"/>
      <c r="Y35" s="7"/>
      <c r="Z35" s="7"/>
      <c r="AA35" s="7"/>
      <c r="AB35" s="7"/>
      <c r="AC35" s="7"/>
      <c r="AD35" s="7"/>
      <c r="AE35" s="7"/>
      <c r="AF35" s="7"/>
      <c r="AG35" s="7"/>
    </row>
    <row r="36" spans="1:33" x14ac:dyDescent="0.25">
      <c r="A36" s="6"/>
      <c r="B36" s="6"/>
      <c r="C36" s="6"/>
      <c r="D36" s="6"/>
      <c r="E36" s="6"/>
      <c r="F36" s="6"/>
      <c r="G36" s="6"/>
      <c r="H36" s="6"/>
      <c r="I36" s="6"/>
      <c r="J36" s="6"/>
      <c r="K36" s="6"/>
      <c r="L36" s="6"/>
      <c r="M36" s="6"/>
      <c r="N36" s="6"/>
      <c r="O36" s="6"/>
      <c r="P36" s="6"/>
      <c r="Q36" s="6"/>
      <c r="R36" s="6"/>
      <c r="S36" s="6"/>
      <c r="T36" s="6"/>
      <c r="U36" s="7"/>
      <c r="V36" s="7"/>
      <c r="W36" s="7"/>
      <c r="X36" s="7"/>
      <c r="Y36" s="7"/>
      <c r="Z36" s="7"/>
      <c r="AA36" s="7"/>
      <c r="AB36" s="7"/>
      <c r="AC36" s="7"/>
      <c r="AD36" s="7"/>
      <c r="AE36" s="7"/>
      <c r="AF36" s="7"/>
      <c r="AG36" s="7"/>
    </row>
    <row r="37" spans="1:33" x14ac:dyDescent="0.25">
      <c r="A37" s="6"/>
      <c r="B37" s="6"/>
      <c r="C37" s="6"/>
      <c r="D37" s="6"/>
      <c r="E37" s="6"/>
      <c r="F37" s="6"/>
      <c r="G37" s="6"/>
      <c r="H37" s="6"/>
      <c r="I37" s="6"/>
      <c r="J37" s="6"/>
      <c r="K37" s="6"/>
      <c r="L37" s="6"/>
      <c r="M37" s="6"/>
      <c r="N37" s="6"/>
      <c r="O37" s="6"/>
      <c r="P37" s="6"/>
      <c r="Q37" s="6"/>
      <c r="R37" s="6"/>
      <c r="S37" s="6"/>
      <c r="T37" s="6"/>
      <c r="U37" s="7"/>
      <c r="V37" s="7"/>
      <c r="W37" s="7"/>
      <c r="X37" s="7"/>
      <c r="Y37" s="7"/>
      <c r="Z37" s="7"/>
      <c r="AA37" s="7"/>
      <c r="AB37" s="7"/>
      <c r="AC37" s="7"/>
      <c r="AD37" s="7"/>
      <c r="AE37" s="7"/>
      <c r="AF37" s="7"/>
      <c r="AG37" s="7"/>
    </row>
    <row r="38" spans="1:33" x14ac:dyDescent="0.25">
      <c r="A38" s="6"/>
      <c r="B38" s="6"/>
      <c r="C38" s="6"/>
      <c r="D38" s="6"/>
      <c r="E38" s="6"/>
      <c r="F38" s="6"/>
      <c r="G38" s="6"/>
      <c r="H38" s="6"/>
      <c r="I38" s="6"/>
      <c r="J38" s="6"/>
      <c r="K38" s="6"/>
      <c r="L38" s="6"/>
      <c r="M38" s="6"/>
      <c r="N38" s="6"/>
      <c r="O38" s="6"/>
      <c r="P38" s="6"/>
      <c r="Q38" s="6"/>
      <c r="R38" s="6"/>
      <c r="S38" s="6"/>
      <c r="T38" s="6"/>
      <c r="U38" s="7"/>
      <c r="V38" s="7"/>
      <c r="W38" s="7"/>
      <c r="X38" s="7"/>
      <c r="Y38" s="7"/>
      <c r="Z38" s="7"/>
      <c r="AA38" s="7"/>
      <c r="AB38" s="7"/>
      <c r="AC38" s="7"/>
      <c r="AD38" s="7"/>
      <c r="AE38" s="7"/>
      <c r="AF38" s="7"/>
      <c r="AG38" s="7"/>
    </row>
    <row r="39" spans="1:33" x14ac:dyDescent="0.25">
      <c r="A39" s="6"/>
      <c r="B39" s="6"/>
      <c r="C39" s="6"/>
      <c r="D39" s="6"/>
      <c r="E39" s="6"/>
      <c r="F39" s="6"/>
      <c r="G39" s="6"/>
      <c r="H39" s="6"/>
      <c r="I39" s="6"/>
      <c r="J39" s="6"/>
      <c r="K39" s="6"/>
      <c r="L39" s="6"/>
      <c r="M39" s="6"/>
      <c r="N39" s="6"/>
      <c r="O39" s="6"/>
      <c r="P39" s="6"/>
      <c r="Q39" s="6"/>
      <c r="R39" s="6"/>
      <c r="S39" s="6"/>
      <c r="T39" s="6"/>
      <c r="U39" s="7"/>
      <c r="V39" s="7"/>
      <c r="W39" s="7"/>
      <c r="X39" s="7"/>
      <c r="Y39" s="7"/>
      <c r="Z39" s="7"/>
      <c r="AA39" s="7"/>
      <c r="AB39" s="7"/>
      <c r="AC39" s="7"/>
      <c r="AD39" s="7"/>
      <c r="AE39" s="7"/>
      <c r="AF39" s="7"/>
      <c r="AG39" s="7"/>
    </row>
    <row r="40" spans="1:33" x14ac:dyDescent="0.25">
      <c r="A40" s="6"/>
      <c r="B40" s="6"/>
      <c r="C40" s="6"/>
      <c r="D40" s="6"/>
      <c r="E40" s="6"/>
      <c r="F40" s="6"/>
      <c r="G40" s="6"/>
      <c r="H40" s="6"/>
      <c r="I40" s="6"/>
      <c r="J40" s="6"/>
      <c r="K40" s="6"/>
      <c r="L40" s="6"/>
      <c r="M40" s="6"/>
      <c r="N40" s="6"/>
      <c r="O40" s="6"/>
      <c r="P40" s="6"/>
      <c r="Q40" s="6"/>
      <c r="R40" s="6"/>
      <c r="S40" s="6"/>
      <c r="T40" s="6"/>
      <c r="U40" s="7"/>
      <c r="V40" s="7"/>
      <c r="W40" s="7"/>
      <c r="X40" s="7"/>
      <c r="Y40" s="7"/>
      <c r="Z40" s="7"/>
      <c r="AA40" s="7"/>
      <c r="AB40" s="7"/>
      <c r="AC40" s="7"/>
      <c r="AD40" s="7"/>
      <c r="AE40" s="7"/>
      <c r="AF40" s="7"/>
      <c r="AG40" s="7"/>
    </row>
    <row r="41" spans="1:33" x14ac:dyDescent="0.25">
      <c r="A41" s="6"/>
      <c r="B41" s="6"/>
      <c r="C41" s="6"/>
      <c r="D41" s="6"/>
      <c r="E41" s="6"/>
      <c r="F41" s="6"/>
      <c r="G41" s="6"/>
      <c r="H41" s="6"/>
      <c r="I41" s="6"/>
      <c r="J41" s="6"/>
      <c r="K41" s="6"/>
      <c r="L41" s="6"/>
      <c r="M41" s="6"/>
      <c r="N41" s="6"/>
      <c r="O41" s="6"/>
      <c r="P41" s="6"/>
      <c r="Q41" s="6"/>
      <c r="R41" s="6"/>
      <c r="S41" s="6"/>
      <c r="T41" s="6"/>
      <c r="U41" s="7"/>
      <c r="V41" s="7"/>
      <c r="W41" s="7"/>
      <c r="X41" s="7"/>
      <c r="Y41" s="7"/>
      <c r="Z41" s="7"/>
      <c r="AA41" s="7"/>
      <c r="AB41" s="7"/>
      <c r="AC41" s="7"/>
      <c r="AD41" s="7"/>
      <c r="AE41" s="7"/>
      <c r="AF41" s="7"/>
      <c r="AG41" s="7"/>
    </row>
    <row r="42" spans="1:33" x14ac:dyDescent="0.25">
      <c r="A42" s="6"/>
      <c r="B42" s="6"/>
      <c r="C42" s="6"/>
      <c r="D42" s="6"/>
      <c r="E42" s="6"/>
      <c r="F42" s="6"/>
      <c r="G42" s="6"/>
      <c r="H42" s="6"/>
      <c r="I42" s="6"/>
      <c r="J42" s="6"/>
      <c r="K42" s="6"/>
      <c r="L42" s="6"/>
      <c r="M42" s="6"/>
      <c r="N42" s="6"/>
      <c r="O42" s="6"/>
      <c r="P42" s="6"/>
      <c r="Q42" s="6"/>
      <c r="R42" s="6"/>
      <c r="S42" s="6"/>
      <c r="T42" s="6"/>
      <c r="U42" s="7"/>
      <c r="V42" s="7"/>
      <c r="W42" s="7"/>
      <c r="X42" s="7"/>
      <c r="Y42" s="7"/>
      <c r="Z42" s="7"/>
      <c r="AA42" s="7"/>
      <c r="AB42" s="7"/>
      <c r="AC42" s="7"/>
      <c r="AD42" s="7"/>
      <c r="AE42" s="7"/>
      <c r="AF42" s="7"/>
      <c r="AG42" s="7"/>
    </row>
    <row r="43" spans="1:33" x14ac:dyDescent="0.25">
      <c r="A43" s="6"/>
      <c r="B43" s="6"/>
      <c r="C43" s="6"/>
      <c r="D43" s="6"/>
      <c r="E43" s="6"/>
      <c r="F43" s="6"/>
      <c r="G43" s="6"/>
      <c r="H43" s="6"/>
      <c r="I43" s="6"/>
      <c r="J43" s="6"/>
      <c r="K43" s="6"/>
      <c r="L43" s="6"/>
      <c r="M43" s="6"/>
      <c r="N43" s="6"/>
      <c r="O43" s="6"/>
      <c r="P43" s="6"/>
      <c r="Q43" s="6"/>
      <c r="R43" s="6"/>
      <c r="S43" s="6"/>
      <c r="T43" s="6"/>
      <c r="U43" s="7"/>
      <c r="V43" s="7"/>
      <c r="W43" s="7"/>
      <c r="X43" s="7"/>
      <c r="Y43" s="7"/>
      <c r="Z43" s="7"/>
      <c r="AA43" s="7"/>
      <c r="AB43" s="7"/>
      <c r="AC43" s="7"/>
      <c r="AD43" s="7"/>
      <c r="AE43" s="7"/>
      <c r="AF43" s="7"/>
      <c r="AG43" s="7"/>
    </row>
    <row r="44" spans="1:33" x14ac:dyDescent="0.25">
      <c r="A44" s="6"/>
      <c r="B44" s="6"/>
      <c r="C44" s="6"/>
      <c r="D44" s="6"/>
      <c r="E44" s="6"/>
      <c r="F44" s="6"/>
      <c r="G44" s="6"/>
      <c r="H44" s="6"/>
      <c r="I44" s="6"/>
      <c r="J44" s="6"/>
      <c r="K44" s="6"/>
      <c r="L44" s="6"/>
      <c r="M44" s="6"/>
      <c r="N44" s="6"/>
      <c r="O44" s="6"/>
      <c r="P44" s="6"/>
      <c r="Q44" s="6"/>
      <c r="R44" s="6"/>
      <c r="S44" s="6"/>
      <c r="T44" s="6"/>
      <c r="U44" s="7"/>
      <c r="V44" s="7"/>
      <c r="W44" s="7"/>
      <c r="X44" s="7"/>
      <c r="Y44" s="7"/>
      <c r="Z44" s="7"/>
      <c r="AA44" s="7"/>
      <c r="AB44" s="7"/>
      <c r="AC44" s="7"/>
      <c r="AD44" s="7"/>
      <c r="AE44" s="7"/>
      <c r="AF44" s="7"/>
      <c r="AG44" s="7"/>
    </row>
    <row r="45" spans="1:33" x14ac:dyDescent="0.25">
      <c r="A45" s="6"/>
      <c r="B45" s="6"/>
      <c r="C45" s="6"/>
      <c r="D45" s="6"/>
      <c r="E45" s="6"/>
      <c r="F45" s="6"/>
      <c r="G45" s="6"/>
      <c r="H45" s="6"/>
      <c r="I45" s="6"/>
      <c r="J45" s="6"/>
      <c r="K45" s="6"/>
      <c r="L45" s="6"/>
      <c r="M45" s="6"/>
      <c r="N45" s="6"/>
      <c r="O45" s="6"/>
      <c r="P45" s="6"/>
      <c r="Q45" s="6"/>
      <c r="R45" s="6"/>
      <c r="S45" s="6"/>
      <c r="T45" s="6"/>
      <c r="U45" s="7"/>
      <c r="V45" s="7"/>
      <c r="W45" s="7"/>
      <c r="X45" s="7"/>
      <c r="Y45" s="7"/>
      <c r="Z45" s="7"/>
      <c r="AA45" s="7"/>
      <c r="AB45" s="7"/>
      <c r="AC45" s="7"/>
      <c r="AD45" s="7"/>
      <c r="AE45" s="7"/>
      <c r="AF45" s="7"/>
      <c r="AG45" s="7"/>
    </row>
    <row r="46" spans="1:33" x14ac:dyDescent="0.25">
      <c r="A46" s="6"/>
      <c r="B46" s="6"/>
      <c r="C46" s="6"/>
      <c r="D46" s="6"/>
      <c r="E46" s="6"/>
      <c r="F46" s="6"/>
      <c r="G46" s="6"/>
      <c r="H46" s="6"/>
      <c r="I46" s="6"/>
      <c r="J46" s="6"/>
      <c r="K46" s="6"/>
      <c r="L46" s="6"/>
      <c r="M46" s="6"/>
      <c r="N46" s="6"/>
      <c r="O46" s="6"/>
      <c r="P46" s="6"/>
      <c r="Q46" s="6"/>
      <c r="R46" s="6"/>
      <c r="S46" s="6"/>
      <c r="T46" s="6"/>
      <c r="U46" s="7"/>
      <c r="V46" s="7"/>
      <c r="W46" s="7"/>
      <c r="X46" s="7"/>
      <c r="Y46" s="7"/>
      <c r="Z46" s="7"/>
      <c r="AA46" s="7"/>
      <c r="AB46" s="7"/>
      <c r="AC46" s="7"/>
      <c r="AD46" s="7"/>
      <c r="AE46" s="7"/>
      <c r="AF46" s="7"/>
      <c r="AG46" s="7"/>
    </row>
    <row r="47" spans="1:33" x14ac:dyDescent="0.25">
      <c r="A47" s="6"/>
      <c r="B47" s="6"/>
      <c r="C47" s="6"/>
      <c r="D47" s="6"/>
      <c r="E47" s="6"/>
      <c r="F47" s="6"/>
      <c r="G47" s="6"/>
      <c r="H47" s="6"/>
      <c r="I47" s="6"/>
      <c r="J47" s="6"/>
      <c r="K47" s="6"/>
      <c r="L47" s="6"/>
      <c r="M47" s="6"/>
      <c r="N47" s="6"/>
      <c r="O47" s="6"/>
      <c r="P47" s="6"/>
      <c r="Q47" s="6"/>
      <c r="R47" s="6"/>
      <c r="S47" s="6"/>
      <c r="T47" s="6"/>
      <c r="U47" s="7"/>
      <c r="V47" s="7"/>
      <c r="W47" s="7"/>
      <c r="X47" s="7"/>
      <c r="Y47" s="7"/>
      <c r="Z47" s="7"/>
      <c r="AA47" s="7"/>
      <c r="AB47" s="7"/>
      <c r="AC47" s="7"/>
      <c r="AD47" s="7"/>
      <c r="AE47" s="7"/>
      <c r="AF47" s="7"/>
      <c r="AG47" s="7"/>
    </row>
    <row r="48" spans="1:33" x14ac:dyDescent="0.25">
      <c r="A48" s="6"/>
      <c r="B48" s="6"/>
      <c r="C48" s="6"/>
      <c r="D48" s="6"/>
      <c r="E48" s="6"/>
      <c r="F48" s="6"/>
      <c r="G48" s="6"/>
      <c r="H48" s="6"/>
      <c r="I48" s="6"/>
      <c r="J48" s="6"/>
      <c r="K48" s="6"/>
      <c r="L48" s="6"/>
      <c r="M48" s="6"/>
      <c r="N48" s="6"/>
      <c r="O48" s="6"/>
      <c r="P48" s="6"/>
      <c r="Q48" s="6"/>
      <c r="R48" s="6"/>
      <c r="S48" s="6"/>
      <c r="T48" s="6"/>
      <c r="U48" s="7"/>
      <c r="V48" s="7"/>
      <c r="W48" s="7"/>
      <c r="X48" s="7"/>
      <c r="Y48" s="7"/>
      <c r="Z48" s="7"/>
      <c r="AA48" s="7"/>
      <c r="AB48" s="7"/>
      <c r="AC48" s="7"/>
      <c r="AD48" s="7"/>
      <c r="AE48" s="7"/>
      <c r="AF48" s="7"/>
      <c r="AG48" s="7"/>
    </row>
    <row r="49" spans="1:33" x14ac:dyDescent="0.25">
      <c r="A49" s="6"/>
      <c r="B49" s="6"/>
      <c r="C49" s="6"/>
      <c r="D49" s="6"/>
      <c r="E49" s="6"/>
      <c r="F49" s="6"/>
      <c r="G49" s="6"/>
      <c r="H49" s="6"/>
      <c r="I49" s="6"/>
      <c r="J49" s="6"/>
      <c r="K49" s="6"/>
      <c r="L49" s="6"/>
      <c r="M49" s="6"/>
      <c r="N49" s="6"/>
      <c r="O49" s="6"/>
      <c r="P49" s="6"/>
      <c r="Q49" s="6"/>
      <c r="R49" s="6"/>
      <c r="S49" s="6"/>
      <c r="T49" s="6"/>
      <c r="U49" s="7"/>
      <c r="V49" s="7"/>
      <c r="W49" s="7"/>
      <c r="X49" s="7"/>
      <c r="Y49" s="7"/>
      <c r="Z49" s="7"/>
      <c r="AA49" s="7"/>
      <c r="AB49" s="7"/>
      <c r="AC49" s="7"/>
      <c r="AD49" s="7"/>
      <c r="AE49" s="7"/>
      <c r="AF49" s="7"/>
      <c r="AG49" s="7"/>
    </row>
    <row r="50" spans="1:33" x14ac:dyDescent="0.25">
      <c r="A50" s="6"/>
      <c r="B50" s="6"/>
      <c r="C50" s="6"/>
      <c r="D50" s="6"/>
      <c r="E50" s="6"/>
      <c r="F50" s="6"/>
      <c r="G50" s="6"/>
      <c r="H50" s="6"/>
      <c r="I50" s="6"/>
      <c r="J50" s="6"/>
      <c r="K50" s="6"/>
      <c r="L50" s="6"/>
      <c r="M50" s="6"/>
      <c r="N50" s="6"/>
      <c r="O50" s="6"/>
      <c r="P50" s="6"/>
      <c r="Q50" s="6"/>
      <c r="R50" s="6"/>
      <c r="S50" s="6"/>
      <c r="T50" s="6"/>
      <c r="U50" s="7"/>
      <c r="V50" s="7"/>
      <c r="W50" s="7"/>
      <c r="X50" s="7"/>
      <c r="Y50" s="7"/>
      <c r="Z50" s="7"/>
      <c r="AA50" s="7"/>
      <c r="AB50" s="7"/>
      <c r="AC50" s="7"/>
      <c r="AD50" s="7"/>
      <c r="AE50" s="7"/>
      <c r="AF50" s="7"/>
      <c r="AG50" s="7"/>
    </row>
    <row r="51" spans="1:33" x14ac:dyDescent="0.25">
      <c r="A51" s="6"/>
      <c r="B51" s="6"/>
      <c r="C51" s="6"/>
      <c r="D51" s="6"/>
      <c r="E51" s="6"/>
      <c r="F51" s="6"/>
      <c r="G51" s="6"/>
      <c r="H51" s="6"/>
      <c r="I51" s="6"/>
      <c r="J51" s="6"/>
      <c r="K51" s="6"/>
      <c r="L51" s="6"/>
      <c r="M51" s="6"/>
      <c r="N51" s="6"/>
      <c r="O51" s="6"/>
      <c r="P51" s="6"/>
      <c r="Q51" s="6"/>
      <c r="R51" s="6"/>
      <c r="S51" s="6"/>
      <c r="T51" s="6"/>
      <c r="U51" s="7"/>
      <c r="V51" s="7"/>
      <c r="W51" s="7"/>
      <c r="X51" s="7"/>
      <c r="Y51" s="7"/>
      <c r="Z51" s="7"/>
      <c r="AA51" s="7"/>
      <c r="AB51" s="7"/>
      <c r="AC51" s="7"/>
      <c r="AD51" s="7"/>
      <c r="AE51" s="7"/>
      <c r="AF51" s="7"/>
      <c r="AG51" s="7"/>
    </row>
    <row r="52" spans="1:33" x14ac:dyDescent="0.25">
      <c r="A52" s="6"/>
      <c r="B52" s="6"/>
      <c r="C52" s="6"/>
      <c r="D52" s="6"/>
      <c r="E52" s="6"/>
      <c r="F52" s="6"/>
      <c r="G52" s="6"/>
      <c r="H52" s="6"/>
      <c r="I52" s="6"/>
      <c r="J52" s="6"/>
      <c r="K52" s="6"/>
      <c r="L52" s="6"/>
      <c r="M52" s="6"/>
      <c r="N52" s="6"/>
      <c r="O52" s="6"/>
      <c r="P52" s="6"/>
      <c r="Q52" s="6"/>
      <c r="R52" s="6"/>
      <c r="S52" s="6"/>
      <c r="T52" s="6"/>
      <c r="U52" s="7"/>
      <c r="V52" s="7"/>
      <c r="W52" s="7"/>
      <c r="X52" s="7"/>
      <c r="Y52" s="7"/>
      <c r="Z52" s="7"/>
      <c r="AA52" s="7"/>
      <c r="AB52" s="7"/>
      <c r="AC52" s="7"/>
      <c r="AD52" s="7"/>
      <c r="AE52" s="7"/>
      <c r="AF52" s="7"/>
      <c r="AG52" s="7"/>
    </row>
    <row r="53" spans="1:33" x14ac:dyDescent="0.25">
      <c r="A53" s="6"/>
      <c r="B53" s="6"/>
      <c r="C53" s="6"/>
      <c r="D53" s="6"/>
      <c r="E53" s="6"/>
      <c r="F53" s="6"/>
      <c r="G53" s="6"/>
      <c r="H53" s="6"/>
      <c r="I53" s="6"/>
      <c r="J53" s="6"/>
      <c r="K53" s="6"/>
      <c r="L53" s="6"/>
      <c r="M53" s="6"/>
      <c r="N53" s="6"/>
      <c r="O53" s="6"/>
      <c r="P53" s="6"/>
      <c r="Q53" s="6"/>
      <c r="R53" s="6"/>
      <c r="S53" s="6"/>
      <c r="T53" s="6"/>
      <c r="U53" s="7"/>
      <c r="V53" s="7"/>
      <c r="W53" s="7"/>
      <c r="X53" s="7"/>
      <c r="Y53" s="7"/>
      <c r="Z53" s="7"/>
      <c r="AA53" s="7"/>
      <c r="AB53" s="7"/>
      <c r="AC53" s="7"/>
      <c r="AD53" s="7"/>
      <c r="AE53" s="7"/>
      <c r="AF53" s="7"/>
      <c r="AG53" s="7"/>
    </row>
    <row r="54" spans="1:33" x14ac:dyDescent="0.25">
      <c r="A54" s="6"/>
      <c r="B54" s="6"/>
      <c r="C54" s="6"/>
      <c r="D54" s="6"/>
      <c r="E54" s="6"/>
      <c r="F54" s="6"/>
      <c r="G54" s="6"/>
      <c r="H54" s="6"/>
      <c r="I54" s="6"/>
      <c r="J54" s="6"/>
      <c r="K54" s="6"/>
      <c r="L54" s="6"/>
      <c r="M54" s="6"/>
      <c r="N54" s="6"/>
      <c r="O54" s="6"/>
      <c r="P54" s="6"/>
      <c r="Q54" s="6"/>
      <c r="R54" s="6"/>
      <c r="S54" s="6"/>
      <c r="T54" s="6"/>
      <c r="U54" s="7"/>
      <c r="V54" s="7"/>
      <c r="W54" s="7"/>
      <c r="X54" s="7"/>
      <c r="Y54" s="7"/>
      <c r="Z54" s="7"/>
      <c r="AA54" s="7"/>
      <c r="AB54" s="7"/>
      <c r="AC54" s="7"/>
      <c r="AD54" s="7"/>
      <c r="AE54" s="7"/>
      <c r="AF54" s="7"/>
      <c r="AG54" s="7"/>
    </row>
    <row r="55" spans="1:33" x14ac:dyDescent="0.25">
      <c r="A55" s="6"/>
      <c r="B55" s="6"/>
      <c r="C55" s="6"/>
      <c r="D55" s="6"/>
      <c r="E55" s="6"/>
      <c r="F55" s="6"/>
      <c r="G55" s="6"/>
      <c r="H55" s="6"/>
      <c r="I55" s="6"/>
      <c r="J55" s="6"/>
      <c r="K55" s="6"/>
      <c r="L55" s="6"/>
      <c r="M55" s="6"/>
      <c r="N55" s="6"/>
      <c r="O55" s="6"/>
      <c r="P55" s="6"/>
      <c r="Q55" s="6"/>
      <c r="R55" s="6"/>
      <c r="S55" s="6"/>
      <c r="T55" s="6"/>
      <c r="U55" s="7"/>
      <c r="V55" s="7"/>
      <c r="W55" s="7"/>
      <c r="X55" s="7"/>
      <c r="Y55" s="7"/>
      <c r="Z55" s="7"/>
      <c r="AA55" s="7"/>
      <c r="AB55" s="7"/>
      <c r="AC55" s="7"/>
      <c r="AD55" s="7"/>
      <c r="AE55" s="7"/>
      <c r="AF55" s="7"/>
      <c r="AG55" s="7"/>
    </row>
    <row r="56" spans="1:33" x14ac:dyDescent="0.25">
      <c r="A56" s="6"/>
      <c r="B56" s="6"/>
      <c r="C56" s="6"/>
      <c r="D56" s="6"/>
      <c r="E56" s="6"/>
      <c r="F56" s="6"/>
      <c r="G56" s="6"/>
      <c r="H56" s="6"/>
      <c r="I56" s="6"/>
      <c r="J56" s="6"/>
      <c r="K56" s="6"/>
      <c r="L56" s="6"/>
      <c r="M56" s="6"/>
      <c r="N56" s="6"/>
      <c r="O56" s="6"/>
      <c r="P56" s="6"/>
      <c r="Q56" s="6"/>
      <c r="R56" s="6"/>
      <c r="S56" s="6"/>
      <c r="T56" s="6"/>
      <c r="U56" s="7"/>
      <c r="V56" s="7"/>
      <c r="W56" s="7"/>
      <c r="X56" s="7"/>
      <c r="Y56" s="7"/>
      <c r="Z56" s="7"/>
      <c r="AA56" s="7"/>
      <c r="AB56" s="7"/>
      <c r="AC56" s="7"/>
      <c r="AD56" s="7"/>
      <c r="AE56" s="7"/>
      <c r="AF56" s="7"/>
      <c r="AG56" s="7"/>
    </row>
    <row r="57" spans="1:33" x14ac:dyDescent="0.25">
      <c r="A57" s="5"/>
      <c r="B57" s="5"/>
      <c r="C57" s="5"/>
      <c r="D57" s="5"/>
      <c r="E57" s="5"/>
      <c r="F57" s="5"/>
      <c r="G57" s="5"/>
      <c r="H57" s="5"/>
      <c r="I57" s="5"/>
      <c r="J57" s="5"/>
      <c r="K57" s="5"/>
      <c r="L57" s="5"/>
      <c r="M57" s="5"/>
      <c r="N57" s="5"/>
      <c r="O57" s="5"/>
      <c r="P57" s="5"/>
      <c r="Q57" s="5"/>
      <c r="R57" s="5"/>
      <c r="S57" s="5"/>
      <c r="T57" s="5"/>
    </row>
    <row r="58" spans="1:33" x14ac:dyDescent="0.25">
      <c r="A58" s="5"/>
      <c r="B58" s="5"/>
      <c r="C58" s="5"/>
      <c r="D58" s="5"/>
      <c r="E58" s="5"/>
      <c r="F58" s="5"/>
      <c r="G58" s="5"/>
      <c r="H58" s="5"/>
      <c r="I58" s="5"/>
      <c r="J58" s="5"/>
      <c r="K58" s="5"/>
      <c r="L58" s="5"/>
      <c r="M58" s="5"/>
      <c r="N58" s="5"/>
      <c r="O58" s="5"/>
      <c r="P58" s="5"/>
      <c r="Q58" s="5"/>
      <c r="R58" s="5"/>
      <c r="S58" s="5"/>
      <c r="T58" s="5"/>
    </row>
    <row r="59" spans="1:33" x14ac:dyDescent="0.25">
      <c r="A59" s="4"/>
      <c r="B59" s="4"/>
      <c r="C59" s="4"/>
      <c r="D59" s="4"/>
      <c r="E59" s="4"/>
      <c r="F59" s="4"/>
      <c r="G59" s="4"/>
      <c r="H59" s="4"/>
      <c r="I59" s="4"/>
      <c r="J59" s="4"/>
      <c r="K59" s="4"/>
      <c r="L59" s="4"/>
      <c r="M59" s="4"/>
      <c r="N59" s="4"/>
      <c r="O59" s="4"/>
      <c r="P59" s="4"/>
      <c r="Q59" s="4"/>
      <c r="R59" s="4"/>
      <c r="S59" s="4"/>
    </row>
    <row r="60" spans="1:33" x14ac:dyDescent="0.25">
      <c r="A60" s="4"/>
      <c r="B60" s="4"/>
      <c r="C60" s="4"/>
      <c r="D60" s="4"/>
      <c r="E60" s="4"/>
      <c r="F60" s="4"/>
      <c r="G60" s="4"/>
      <c r="H60" s="4"/>
      <c r="I60" s="4"/>
      <c r="J60" s="4"/>
      <c r="K60" s="4"/>
      <c r="L60" s="4"/>
      <c r="M60" s="4"/>
      <c r="N60" s="4"/>
      <c r="O60" s="4"/>
      <c r="P60" s="4"/>
      <c r="Q60" s="4"/>
      <c r="R60" s="4"/>
      <c r="S60" s="4"/>
    </row>
  </sheetData>
  <mergeCells count="1">
    <mergeCell ref="C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3496E4-EB3C-4405-9E0D-1F9067D3DB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DATA_weekday</vt:lpstr>
      <vt:lpstr>DATA_store</vt:lpstr>
      <vt:lpstr>DATA_velocity</vt:lpstr>
      <vt:lpstr>DATA_product</vt:lpstr>
      <vt:lpstr>DATA_monthly</vt:lpstr>
      <vt:lpstr>DATA_inventory</vt:lpstr>
      <vt:lpstr>DATA_category</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pallab dey</dc:creator>
  <cp:lastModifiedBy>pallab dey</cp:lastModifiedBy>
  <dcterms:created xsi:type="dcterms:W3CDTF">2026-03-12T17:35:47Z</dcterms:created>
  <dcterms:modified xsi:type="dcterms:W3CDTF">2026-03-16T17:41:11Z</dcterms:modified>
</cp:coreProperties>
</file>